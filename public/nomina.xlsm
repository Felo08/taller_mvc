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90" windowWidth="21120" windowHeight="10050" activeTab="2"/>
  </bookViews>
  <sheets>
    <sheet name="Datos Básicos" sheetId="1" r:id="rId1"/>
    <sheet name="Calculos" sheetId="4" r:id="rId2"/>
    <sheet name="Nomina" sheetId="3" r:id="rId3"/>
  </sheets>
  <definedNames>
    <definedName name="_xlnm.Print_Area" localSheetId="2">Nomina!$A$1:$P$28</definedName>
    <definedName name="ARP">'Datos Básicos'!$F$9</definedName>
    <definedName name="AT">'Datos Básicos'!$B$6</definedName>
    <definedName name="CAJA">'Datos Básicos'!$B$11</definedName>
    <definedName name="Cesantia">'Datos Básicos'!$B$19</definedName>
    <definedName name="EMPLEADOS">#REF!</definedName>
    <definedName name="ESAP">'Datos Básicos'!$F$15</definedName>
    <definedName name="ExtraDiurna">'Datos Básicos'!#REF!</definedName>
    <definedName name="ExtraDiurnaDominicalFestivo">'Datos Básicos'!#REF!</definedName>
    <definedName name="ExtraNocturna">'Datos Básicos'!#REF!</definedName>
    <definedName name="ExtraNocturnaDominicalFestivo">'Datos Básicos'!$F$24</definedName>
    <definedName name="FonSol1">'Datos Básicos'!$B$26</definedName>
    <definedName name="FonSol2">'Datos Básicos'!$B$27</definedName>
    <definedName name="FonSol3">'Datos Básicos'!$B$28</definedName>
    <definedName name="FonSol4">'Datos Básicos'!$B$29</definedName>
    <definedName name="FonSol5">'Datos Básicos'!$B$30</definedName>
    <definedName name="FonSol6">'Datos Básicos'!$B$31</definedName>
    <definedName name="ICBF">'Datos Básicos'!$B$10</definedName>
    <definedName name="IND">'Datos Básicos'!$F$16</definedName>
    <definedName name="IntCesantia">'Datos Básicos'!$B$22</definedName>
    <definedName name="OrdinariaDominicalFestivo">'Datos Básicos'!#REF!</definedName>
    <definedName name="PensionEmpleado">'Datos Básicos'!$B$16</definedName>
    <definedName name="PensionEmpresa">'Datos Básicos'!$C$16</definedName>
    <definedName name="Prima">'Datos Básicos'!$B$20</definedName>
    <definedName name="RecargoNocturno">'Datos Básicos'!#REF!</definedName>
    <definedName name="SaludEmpleado">'Datos Básicos'!$B$15</definedName>
    <definedName name="SaludEmpresa">'Datos Básicos'!$C$15</definedName>
    <definedName name="SENA">'Datos Básicos'!$B$9</definedName>
    <definedName name="SM">'Datos Básicos'!$B$5</definedName>
    <definedName name="UVT">'Datos Básicos'!$F$11</definedName>
    <definedName name="Vacaciones">'Datos Básicos'!$B$21</definedName>
    <definedName name="ValorHora">Calculos!$B$4</definedName>
  </definedNames>
  <calcPr calcId="124519"/>
</workbook>
</file>

<file path=xl/calcChain.xml><?xml version="1.0" encoding="utf-8"?>
<calcChain xmlns="http://schemas.openxmlformats.org/spreadsheetml/2006/main">
  <c r="K5" i="3"/>
  <c r="L5" s="1"/>
  <c r="I5"/>
  <c r="J5" s="1"/>
  <c r="H5"/>
  <c r="G5"/>
  <c r="F5"/>
  <c r="E5"/>
  <c r="D8"/>
  <c r="A37" i="1"/>
  <c r="A38"/>
  <c r="A36"/>
  <c r="B18" i="4"/>
  <c r="B4"/>
  <c r="C8" s="1"/>
  <c r="G20" i="1"/>
  <c r="G21"/>
  <c r="G22"/>
  <c r="G23"/>
  <c r="G24"/>
  <c r="G19"/>
  <c r="E8" i="3"/>
  <c r="C11" i="4" l="1"/>
  <c r="C9"/>
  <c r="C7"/>
  <c r="C6"/>
  <c r="C10"/>
  <c r="E10" i="3"/>
  <c r="C5"/>
  <c r="B5"/>
  <c r="F10"/>
  <c r="G10"/>
  <c r="L10"/>
  <c r="M10"/>
  <c r="B10"/>
  <c r="C12" i="4" l="1"/>
  <c r="B25" s="1"/>
  <c r="B32" s="1"/>
  <c r="B33" s="1"/>
  <c r="B35" s="1"/>
  <c r="B42" s="1"/>
  <c r="B43" s="1"/>
  <c r="D5" i="3"/>
  <c r="H8"/>
  <c r="D10"/>
  <c r="D30" i="1"/>
  <c r="C31" s="1"/>
  <c r="D29"/>
  <c r="D28"/>
  <c r="C29" s="1"/>
  <c r="C30"/>
  <c r="D27"/>
  <c r="C28" s="1"/>
  <c r="D26"/>
  <c r="C27" s="1"/>
  <c r="C26"/>
  <c r="K8" i="3" l="1"/>
  <c r="B44" i="4"/>
  <c r="B45" s="1"/>
  <c r="H10" i="3"/>
  <c r="J8"/>
  <c r="J10" s="1"/>
  <c r="I8"/>
  <c r="K10" l="1"/>
  <c r="N20"/>
  <c r="N21"/>
  <c r="N19"/>
  <c r="I10"/>
  <c r="N8"/>
  <c r="K21"/>
  <c r="K19"/>
  <c r="K17"/>
  <c r="N18"/>
  <c r="N16"/>
  <c r="K20"/>
  <c r="K18"/>
  <c r="K16"/>
  <c r="N10" l="1"/>
  <c r="O8"/>
  <c r="O10" s="1"/>
  <c r="A12" s="1"/>
  <c r="K22"/>
  <c r="N17"/>
  <c r="N22" s="1"/>
  <c r="I24" l="1"/>
  <c r="C32"/>
  <c r="E59" l="1"/>
  <c r="F59" s="1"/>
  <c r="H58" s="1"/>
  <c r="E46"/>
  <c r="G46" s="1"/>
  <c r="E43"/>
  <c r="G43" s="1"/>
  <c r="E40"/>
  <c r="G40" s="1"/>
  <c r="E37"/>
  <c r="G37" s="1"/>
  <c r="E49"/>
  <c r="G49" s="1"/>
  <c r="E38" l="1"/>
  <c r="E44"/>
  <c r="E50"/>
  <c r="E41"/>
  <c r="G41" s="1"/>
  <c r="E47"/>
  <c r="G47" l="1"/>
  <c r="E48" s="1"/>
  <c r="G48" s="1"/>
  <c r="I47" s="1"/>
  <c r="G50"/>
  <c r="E51" s="1"/>
  <c r="G51" s="1"/>
  <c r="I50" s="1"/>
  <c r="G38"/>
  <c r="E39" s="1"/>
  <c r="G39" s="1"/>
  <c r="I38" s="1"/>
  <c r="E42"/>
  <c r="G42" s="1"/>
  <c r="G44"/>
  <c r="I41" l="1"/>
  <c r="H42"/>
  <c r="H40"/>
  <c r="I42"/>
  <c r="H39"/>
  <c r="H38"/>
  <c r="I39"/>
  <c r="H37"/>
  <c r="H50"/>
  <c r="H49"/>
  <c r="H51"/>
  <c r="E45"/>
  <c r="G45" s="1"/>
  <c r="I44" s="1"/>
  <c r="H41"/>
  <c r="H47"/>
  <c r="H46"/>
  <c r="I48"/>
  <c r="H48" l="1"/>
  <c r="H43"/>
  <c r="H44"/>
  <c r="I45"/>
  <c r="H45"/>
  <c r="D56" l="1"/>
  <c r="C34" s="1"/>
  <c r="E12" s="1"/>
</calcChain>
</file>

<file path=xl/comments1.xml><?xml version="1.0" encoding="utf-8"?>
<comments xmlns="http://schemas.openxmlformats.org/spreadsheetml/2006/main">
  <authors>
    <author>Colossus User</author>
  </authors>
  <commentList>
    <comment ref="B5" authorId="0">
      <text>
        <r>
          <rPr>
            <b/>
            <sz val="12"/>
            <color indexed="81"/>
            <rFont val="Tahoma"/>
            <family val="2"/>
          </rPr>
          <t>Digitar el Salario Minimo Mensual Vigente</t>
        </r>
      </text>
    </comment>
    <comment ref="B6" authorId="0">
      <text>
        <r>
          <rPr>
            <b/>
            <sz val="12"/>
            <color indexed="81"/>
            <rFont val="Tahoma"/>
            <family val="2"/>
          </rPr>
          <t>Digitar el Auxilio de transporte mensual vigente</t>
        </r>
      </text>
    </comment>
    <comment ref="B9" authorId="0">
      <text>
        <r>
          <rPr>
            <b/>
            <sz val="12"/>
            <color indexed="81"/>
            <rFont val="Tahoma"/>
            <family val="2"/>
          </rPr>
          <t>Digitar el porcentaje de aporte parafiscal asignado al SENA</t>
        </r>
      </text>
    </comment>
    <comment ref="F9" authorId="0">
      <text>
        <r>
          <rPr>
            <b/>
            <sz val="12"/>
            <color indexed="81"/>
            <rFont val="Tahoma"/>
            <family val="2"/>
          </rPr>
          <t>Digitar el porcentaje de administración de riesgos profesionales</t>
        </r>
      </text>
    </comment>
    <comment ref="B10" authorId="0">
      <text>
        <r>
          <rPr>
            <b/>
            <sz val="12"/>
            <color indexed="81"/>
            <rFont val="Tahoma"/>
            <family val="2"/>
          </rPr>
          <t>Digitar el porcentaje de aporte parafiscal asignado al ICBF</t>
        </r>
      </text>
    </comment>
    <comment ref="B11" authorId="0">
      <text>
        <r>
          <rPr>
            <b/>
            <sz val="12"/>
            <color indexed="81"/>
            <rFont val="Tahoma"/>
            <family val="2"/>
          </rPr>
          <t>Digitar el porcentaje de aporte parafiscal asignado a Caja de Compensación</t>
        </r>
      </text>
    </comment>
    <comment ref="F11" authorId="0">
      <text>
        <r>
          <rPr>
            <b/>
            <sz val="12"/>
            <color indexed="81"/>
            <rFont val="Tahoma"/>
            <family val="2"/>
          </rPr>
          <t>Digitar el valor de la UVT</t>
        </r>
      </text>
    </comment>
    <comment ref="B15" authorId="0">
      <text>
        <r>
          <rPr>
            <b/>
            <sz val="12"/>
            <color indexed="81"/>
            <rFont val="Tahoma"/>
            <family val="2"/>
          </rPr>
          <t>Digitar el porcentaje deducido al empleado por concepto de Salud</t>
        </r>
      </text>
    </comment>
    <comment ref="C15" authorId="0">
      <text>
        <r>
          <rPr>
            <b/>
            <sz val="12"/>
            <color indexed="81"/>
            <rFont val="Tahoma"/>
            <family val="2"/>
          </rPr>
          <t>Digitar el porcentaje deducido a la empresa por concepto de Salud</t>
        </r>
      </text>
    </comment>
    <comment ref="F15" authorId="0">
      <text>
        <r>
          <rPr>
            <b/>
            <sz val="12"/>
            <color indexed="81"/>
            <rFont val="Tahoma"/>
            <family val="2"/>
          </rPr>
          <t>Digitar el porcentaje de aporte para la ESAP
Si aplica en tu empresa</t>
        </r>
      </text>
    </comment>
    <comment ref="B16" authorId="0">
      <text>
        <r>
          <rPr>
            <b/>
            <sz val="12"/>
            <color indexed="81"/>
            <rFont val="Tahoma"/>
            <family val="2"/>
          </rPr>
          <t>Digitar el porcentaje deducido al empleado por concepto de pensión</t>
        </r>
      </text>
    </comment>
    <comment ref="C16" authorId="0">
      <text>
        <r>
          <rPr>
            <b/>
            <sz val="12"/>
            <color indexed="81"/>
            <rFont val="Tahoma"/>
            <family val="2"/>
          </rPr>
          <t>Digitar el porcentaje deducido a la empresa por concepto de pensión</t>
        </r>
      </text>
    </comment>
    <comment ref="F16" authorId="0">
      <text>
        <r>
          <rPr>
            <b/>
            <sz val="12"/>
            <color indexed="81"/>
            <rFont val="Tahoma"/>
            <family val="2"/>
          </rPr>
          <t>Digitar el porcentaje de aporte para las escuelas industriales
Si aplica en tu empresa</t>
        </r>
      </text>
    </comment>
    <comment ref="B19" authorId="0">
      <text>
        <r>
          <rPr>
            <b/>
            <sz val="12"/>
            <color indexed="81"/>
            <rFont val="Tahoma"/>
            <family val="2"/>
          </rPr>
          <t>Digitar el porcentaje aplicado para cesantia</t>
        </r>
      </text>
    </comment>
    <comment ref="F19" authorId="0">
      <text>
        <r>
          <rPr>
            <b/>
            <sz val="12"/>
            <color indexed="81"/>
            <rFont val="Tahoma"/>
            <family val="2"/>
          </rPr>
          <t>Digitar el porcentaje correspondiente al recargo nocturno</t>
        </r>
      </text>
    </comment>
    <comment ref="B20" authorId="0">
      <text>
        <r>
          <rPr>
            <b/>
            <sz val="12"/>
            <color indexed="81"/>
            <rFont val="Tahoma"/>
            <family val="2"/>
          </rPr>
          <t>Digitar el porcentaje aplicado para prima de servicios</t>
        </r>
      </text>
    </comment>
    <comment ref="F20" authorId="0">
      <text>
        <r>
          <rPr>
            <b/>
            <sz val="12"/>
            <color indexed="81"/>
            <rFont val="Tahoma"/>
            <family val="2"/>
          </rPr>
          <t>Digitar el porcentaje correspondiente a hora extra diurna
Entre las 6:00 am hasta las 10:00 pm</t>
        </r>
      </text>
    </comment>
    <comment ref="B21" authorId="0">
      <text>
        <r>
          <rPr>
            <b/>
            <sz val="12"/>
            <color indexed="81"/>
            <rFont val="Tahoma"/>
            <family val="2"/>
          </rPr>
          <t>Digitar el porcentaje aplicado para vacaciones</t>
        </r>
      </text>
    </comment>
    <comment ref="F21" authorId="0">
      <text>
        <r>
          <rPr>
            <b/>
            <sz val="12"/>
            <color indexed="81"/>
            <rFont val="Tahoma"/>
            <family val="2"/>
          </rPr>
          <t>Digitar el porcentaje correspondiente a hora extra nocturna
Entre las 10:00 pm hasta las 6:00 am</t>
        </r>
      </text>
    </comment>
    <comment ref="B22" authorId="0">
      <text>
        <r>
          <rPr>
            <b/>
            <sz val="12"/>
            <color indexed="81"/>
            <rFont val="Tahoma"/>
            <family val="2"/>
          </rPr>
          <t>Digitar el porcentaje aplicado para intereses sobre cesantias</t>
        </r>
      </text>
    </comment>
    <comment ref="F22" authorId="0">
      <text>
        <r>
          <rPr>
            <b/>
            <sz val="12"/>
            <color indexed="81"/>
            <rFont val="Tahoma"/>
            <family val="2"/>
          </rPr>
          <t>Digitar el porcentaje correspondiente a la hora ordinaria dominical o festivo</t>
        </r>
      </text>
    </comment>
    <comment ref="F23" authorId="0">
      <text>
        <r>
          <rPr>
            <b/>
            <sz val="12"/>
            <color indexed="81"/>
            <rFont val="Tahoma"/>
            <family val="2"/>
          </rPr>
          <t>Digitar el porcentaje correspondiente a la hora extra diurna dominical o festivo</t>
        </r>
      </text>
    </comment>
    <comment ref="F24" authorId="0">
      <text>
        <r>
          <rPr>
            <b/>
            <sz val="12"/>
            <color indexed="81"/>
            <rFont val="Tahoma"/>
            <family val="2"/>
          </rPr>
          <t>Digitar el porcentaje correspondiente a la hora extra nocturna dominical o festivo</t>
        </r>
      </text>
    </comment>
    <comment ref="B26" authorId="0">
      <text>
        <r>
          <rPr>
            <b/>
            <sz val="12"/>
            <color indexed="81"/>
            <rFont val="Tahoma"/>
            <family val="2"/>
          </rPr>
          <t>Digitar el porcentaje adicional para quienes tenga un ingreso mensual igual o superior a cuatro salarios mínimos</t>
        </r>
      </text>
    </comment>
    <comment ref="B27" authorId="0">
      <text>
        <r>
          <rPr>
            <b/>
            <sz val="12"/>
            <color indexed="81"/>
            <rFont val="Tahoma"/>
            <family val="2"/>
          </rPr>
          <t>Digitar el porcentaje adicional para quienes tenga un ingreso mensual entre dieciseis y diecisiete salarios mínimos</t>
        </r>
      </text>
    </comment>
    <comment ref="B28" authorId="0">
      <text>
        <r>
          <rPr>
            <b/>
            <sz val="12"/>
            <color indexed="81"/>
            <rFont val="Tahoma"/>
            <family val="2"/>
          </rPr>
          <t>Digitar el porcentaje adicional para quienes tenga un ingreso mensual entre diecisiete y dieciocho salarios mínimos</t>
        </r>
      </text>
    </comment>
    <comment ref="B29" authorId="0">
      <text>
        <r>
          <rPr>
            <b/>
            <sz val="12"/>
            <color indexed="81"/>
            <rFont val="Tahoma"/>
            <family val="2"/>
          </rPr>
          <t>Digitar el porcentaje adicional para quienes tenga un ingreso mensual entre dieciocho y diecinueve salarios mínimos</t>
        </r>
      </text>
    </comment>
    <comment ref="B30" authorId="0">
      <text>
        <r>
          <rPr>
            <b/>
            <sz val="12"/>
            <color indexed="81"/>
            <rFont val="Tahoma"/>
            <family val="2"/>
          </rPr>
          <t>Digitar el porcentaje adicional para quienes tenga un ingreso mensual entre diecinueve y veinte salarios mínimos</t>
        </r>
      </text>
    </comment>
    <comment ref="B31" authorId="0">
      <text>
        <r>
          <rPr>
            <b/>
            <sz val="12"/>
            <color indexed="81"/>
            <rFont val="Tahoma"/>
            <family val="2"/>
          </rPr>
          <t>Digitar el porcentaje adicional para quienes tenga mas de veinte salarios mínimos</t>
        </r>
      </text>
    </comment>
    <comment ref="B35" authorId="0">
      <text>
        <r>
          <rPr>
            <b/>
            <sz val="12"/>
            <color indexed="81"/>
            <rFont val="Tahoma"/>
            <family val="2"/>
          </rPr>
          <t>Digitar el número de UVT final para este rango</t>
        </r>
      </text>
    </comment>
    <comment ref="C35" authorId="0">
      <text>
        <r>
          <rPr>
            <b/>
            <sz val="12"/>
            <color indexed="81"/>
            <rFont val="Tahoma"/>
            <family val="2"/>
          </rPr>
          <t>Digitar la tarifa marginal para este rango</t>
        </r>
      </text>
    </comment>
    <comment ref="B36" authorId="0">
      <text>
        <r>
          <rPr>
            <b/>
            <sz val="12"/>
            <color indexed="81"/>
            <rFont val="Tahoma"/>
            <family val="2"/>
          </rPr>
          <t>Digitar el número de UVT final para este rango</t>
        </r>
      </text>
    </comment>
    <comment ref="C36" authorId="0">
      <text>
        <r>
          <rPr>
            <b/>
            <sz val="12"/>
            <color indexed="81"/>
            <rFont val="Tahoma"/>
            <family val="2"/>
          </rPr>
          <t>Digitar la tarifa marginal para este rango</t>
        </r>
      </text>
    </comment>
    <comment ref="B37" authorId="0">
      <text>
        <r>
          <rPr>
            <b/>
            <sz val="12"/>
            <color indexed="81"/>
            <rFont val="Tahoma"/>
            <family val="2"/>
          </rPr>
          <t>Digitar el número de UVT final para este rango</t>
        </r>
      </text>
    </comment>
    <comment ref="C37" authorId="0">
      <text>
        <r>
          <rPr>
            <b/>
            <sz val="12"/>
            <color indexed="81"/>
            <rFont val="Tahoma"/>
            <family val="2"/>
          </rPr>
          <t>Digitar la tarifa marginal para este rango</t>
        </r>
      </text>
    </comment>
    <comment ref="D37" authorId="0">
      <text>
        <r>
          <rPr>
            <b/>
            <sz val="12"/>
            <color indexed="81"/>
            <rFont val="Tahoma"/>
            <family val="2"/>
          </rPr>
          <t>Digitar los puntos adicionales para este rango</t>
        </r>
      </text>
    </comment>
    <comment ref="C38" authorId="0">
      <text>
        <r>
          <rPr>
            <b/>
            <sz val="12"/>
            <color indexed="81"/>
            <rFont val="Tahoma"/>
            <family val="2"/>
          </rPr>
          <t>Digitar la tarifa marginal para este rango</t>
        </r>
      </text>
    </comment>
    <comment ref="D38" authorId="0">
      <text>
        <r>
          <rPr>
            <b/>
            <sz val="12"/>
            <color indexed="81"/>
            <rFont val="Tahoma"/>
            <family val="2"/>
          </rPr>
          <t>Digitar los puntos adicionales para este rango</t>
        </r>
      </text>
    </comment>
  </commentList>
</comments>
</file>

<file path=xl/comments2.xml><?xml version="1.0" encoding="utf-8"?>
<comments xmlns="http://schemas.openxmlformats.org/spreadsheetml/2006/main">
  <authors>
    <author>Colossus User</author>
  </authors>
  <commentList>
    <comment ref="B3" authorId="0">
      <text>
        <r>
          <rPr>
            <b/>
            <u/>
            <sz val="8"/>
            <color indexed="13"/>
            <rFont val="Tahoma"/>
            <family val="2"/>
          </rPr>
          <t>FUNDACION GEPIC</t>
        </r>
        <r>
          <rPr>
            <sz val="8"/>
            <color indexed="13"/>
            <rFont val="Tahoma"/>
            <family val="2"/>
          </rPr>
          <t xml:space="preserve">
</t>
        </r>
        <r>
          <rPr>
            <sz val="8"/>
            <color indexed="9"/>
            <rFont val="Tahoma"/>
            <family val="2"/>
          </rPr>
          <t>Digitar el sueldo básico mensual</t>
        </r>
      </text>
    </comment>
    <comment ref="B6" authorId="0">
      <text>
        <r>
          <rPr>
            <b/>
            <u/>
            <sz val="8"/>
            <color indexed="13"/>
            <rFont val="Tahoma"/>
            <family val="2"/>
          </rPr>
          <t>FUNDACION GEPIC</t>
        </r>
        <r>
          <rPr>
            <sz val="8"/>
            <color indexed="13"/>
            <rFont val="Tahoma"/>
            <family val="2"/>
          </rPr>
          <t xml:space="preserve">
</t>
        </r>
        <r>
          <rPr>
            <sz val="8"/>
            <color indexed="9"/>
            <rFont val="Tahoma"/>
            <family val="2"/>
          </rPr>
          <t>Digitar el numero de horas extras correspondiente trabajadas</t>
        </r>
      </text>
    </comment>
    <comment ref="B7" authorId="0">
      <text>
        <r>
          <rPr>
            <b/>
            <u/>
            <sz val="8"/>
            <color indexed="13"/>
            <rFont val="Tahoma"/>
            <family val="2"/>
          </rPr>
          <t>FUNDACION GEPIC</t>
        </r>
        <r>
          <rPr>
            <sz val="8"/>
            <color indexed="13"/>
            <rFont val="Tahoma"/>
            <family val="2"/>
          </rPr>
          <t xml:space="preserve">
</t>
        </r>
        <r>
          <rPr>
            <sz val="8"/>
            <color indexed="9"/>
            <rFont val="Tahoma"/>
            <family val="2"/>
          </rPr>
          <t>Digitar el numero de horas extras correspondiente trabajadas</t>
        </r>
      </text>
    </comment>
    <comment ref="B8" authorId="0">
      <text>
        <r>
          <rPr>
            <b/>
            <u/>
            <sz val="8"/>
            <color indexed="13"/>
            <rFont val="Tahoma"/>
            <family val="2"/>
          </rPr>
          <t>FUNDACION GEPIC</t>
        </r>
        <r>
          <rPr>
            <sz val="8"/>
            <color indexed="13"/>
            <rFont val="Tahoma"/>
            <family val="2"/>
          </rPr>
          <t xml:space="preserve">
</t>
        </r>
        <r>
          <rPr>
            <sz val="8"/>
            <color indexed="9"/>
            <rFont val="Tahoma"/>
            <family val="2"/>
          </rPr>
          <t>Digitar el numero de horas extras correspondiente trabajadas</t>
        </r>
      </text>
    </comment>
    <comment ref="B9" authorId="0">
      <text>
        <r>
          <rPr>
            <b/>
            <u/>
            <sz val="8"/>
            <color indexed="13"/>
            <rFont val="Tahoma"/>
            <family val="2"/>
          </rPr>
          <t>FUNDACION GEPIC</t>
        </r>
        <r>
          <rPr>
            <sz val="8"/>
            <color indexed="13"/>
            <rFont val="Tahoma"/>
            <family val="2"/>
          </rPr>
          <t xml:space="preserve">
</t>
        </r>
        <r>
          <rPr>
            <sz val="8"/>
            <color indexed="9"/>
            <rFont val="Tahoma"/>
            <family val="2"/>
          </rPr>
          <t>Digitar el numero de horas extras correspondiente trabajadas</t>
        </r>
      </text>
    </comment>
    <comment ref="B10" authorId="0">
      <text>
        <r>
          <rPr>
            <b/>
            <u/>
            <sz val="8"/>
            <color indexed="13"/>
            <rFont val="Tahoma"/>
            <family val="2"/>
          </rPr>
          <t>FUNDACION GEPIC</t>
        </r>
        <r>
          <rPr>
            <sz val="8"/>
            <color indexed="13"/>
            <rFont val="Tahoma"/>
            <family val="2"/>
          </rPr>
          <t xml:space="preserve">
</t>
        </r>
        <r>
          <rPr>
            <sz val="8"/>
            <color indexed="9"/>
            <rFont val="Tahoma"/>
            <family val="2"/>
          </rPr>
          <t>Digitar el numero de horas extras correspondiente trabajadas</t>
        </r>
      </text>
    </comment>
    <comment ref="B11" authorId="0">
      <text>
        <r>
          <rPr>
            <b/>
            <u/>
            <sz val="8"/>
            <color indexed="13"/>
            <rFont val="Tahoma"/>
            <family val="2"/>
          </rPr>
          <t>FUNDACION GEPIC</t>
        </r>
        <r>
          <rPr>
            <sz val="8"/>
            <color indexed="13"/>
            <rFont val="Tahoma"/>
            <family val="2"/>
          </rPr>
          <t xml:space="preserve">
</t>
        </r>
        <r>
          <rPr>
            <sz val="8"/>
            <color indexed="9"/>
            <rFont val="Tahoma"/>
            <family val="2"/>
          </rPr>
          <t>Digitar el numero de horas extras correspondiente trabajadas</t>
        </r>
      </text>
    </comment>
    <comment ref="B16" authorId="0">
      <text>
        <r>
          <rPr>
            <b/>
            <u/>
            <sz val="8"/>
            <color indexed="81"/>
            <rFont val="Tahoma"/>
            <family val="2"/>
          </rPr>
          <t>FUNDACION GEPIC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Digitar aquí el valor del concepto
</t>
        </r>
      </text>
    </comment>
    <comment ref="B17" authorId="0">
      <text>
        <r>
          <rPr>
            <b/>
            <u/>
            <sz val="8"/>
            <color indexed="81"/>
            <rFont val="Tahoma"/>
            <family val="2"/>
          </rPr>
          <t>FUNDACION GEPIC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Digitar aquí el valor del concepto
</t>
        </r>
      </text>
    </comment>
    <comment ref="B20" authorId="0">
      <text>
        <r>
          <rPr>
            <b/>
            <u/>
            <sz val="8"/>
            <color indexed="81"/>
            <rFont val="Tahoma"/>
            <family val="2"/>
          </rPr>
          <t>FUNDACION GEPIC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Digitar aquí el valor del concepto
</t>
        </r>
      </text>
    </comment>
    <comment ref="B22" authorId="0">
      <text>
        <r>
          <rPr>
            <b/>
            <u/>
            <sz val="8"/>
            <color indexed="81"/>
            <rFont val="Tahoma"/>
            <family val="2"/>
          </rPr>
          <t>FUNDACION GEPIC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Digitar aquí el valor del concepto
</t>
        </r>
      </text>
    </comment>
    <comment ref="B23" authorId="0">
      <text>
        <r>
          <rPr>
            <b/>
            <u/>
            <sz val="8"/>
            <color indexed="81"/>
            <rFont val="Tahoma"/>
            <family val="2"/>
          </rPr>
          <t>FUNDACION GEPIC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Digitar aquí el valor del concepto
</t>
        </r>
      </text>
    </comment>
    <comment ref="B24" authorId="0">
      <text>
        <r>
          <rPr>
            <b/>
            <u/>
            <sz val="8"/>
            <color indexed="81"/>
            <rFont val="Tahoma"/>
            <family val="2"/>
          </rPr>
          <t>FUNDACION GEPIC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Digitar aquí el valor del concepto
</t>
        </r>
      </text>
    </comment>
    <comment ref="B27" authorId="0">
      <text>
        <r>
          <rPr>
            <b/>
            <u/>
            <sz val="8"/>
            <color indexed="81"/>
            <rFont val="Tahoma"/>
            <family val="2"/>
          </rPr>
          <t>FUNDACION GEPIC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Digitar aquí el valor del concepto
</t>
        </r>
      </text>
    </comment>
    <comment ref="B28" authorId="0">
      <text>
        <r>
          <rPr>
            <b/>
            <u/>
            <sz val="8"/>
            <color indexed="81"/>
            <rFont val="Tahoma"/>
            <family val="2"/>
          </rPr>
          <t>FUNDACION GEPIC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Digitar aquí el valor del concepto
</t>
        </r>
      </text>
    </comment>
    <comment ref="B29" authorId="0">
      <text>
        <r>
          <rPr>
            <b/>
            <u/>
            <sz val="8"/>
            <color indexed="81"/>
            <rFont val="Tahoma"/>
            <family val="2"/>
          </rPr>
          <t>FUNDACION GEPIC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Digitar aquí el valor del concepto
</t>
        </r>
      </text>
    </comment>
    <comment ref="B30" authorId="0">
      <text>
        <r>
          <rPr>
            <b/>
            <u/>
            <sz val="8"/>
            <color indexed="81"/>
            <rFont val="Tahoma"/>
            <family val="2"/>
          </rPr>
          <t>FUNDACION GEPIC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Digitar aquí el valor del concepto
</t>
        </r>
      </text>
    </comment>
    <comment ref="B31" authorId="0">
      <text>
        <r>
          <rPr>
            <b/>
            <u/>
            <sz val="8"/>
            <color indexed="81"/>
            <rFont val="Tahoma"/>
            <family val="2"/>
          </rPr>
          <t>FUNDACION GEPIC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Digitar aquí el valor del concepto
</t>
        </r>
      </text>
    </comment>
    <comment ref="B39" authorId="0">
      <text>
        <r>
          <rPr>
            <b/>
            <u/>
            <sz val="8"/>
            <color indexed="81"/>
            <rFont val="Tahoma"/>
            <family val="2"/>
          </rPr>
          <t>FUNDACION GEPIC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Digitar aquí el valor del concepto
</t>
        </r>
      </text>
    </comment>
    <comment ref="B40" authorId="0">
      <text>
        <r>
          <rPr>
            <b/>
            <u/>
            <sz val="8"/>
            <color indexed="81"/>
            <rFont val="Tahoma"/>
            <family val="2"/>
          </rPr>
          <t>FUNDACION GEPIC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Digitar aquí el valor del concepto
</t>
        </r>
      </text>
    </comment>
    <comment ref="B41" authorId="0">
      <text>
        <r>
          <rPr>
            <b/>
            <u/>
            <sz val="8"/>
            <color indexed="81"/>
            <rFont val="Tahoma"/>
            <family val="2"/>
          </rPr>
          <t>FUNDACION GEPIC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Digitar aquí el valor del concepto
</t>
        </r>
      </text>
    </comment>
  </commentList>
</comments>
</file>

<file path=xl/comments3.xml><?xml version="1.0" encoding="utf-8"?>
<comments xmlns="http://schemas.openxmlformats.org/spreadsheetml/2006/main">
  <authors>
    <author>Colossus User</author>
    <author>Jairo Mosquera</author>
  </authors>
  <commentList>
    <comment ref="A1" authorId="0">
      <text>
        <r>
          <rPr>
            <b/>
            <u/>
            <sz val="8"/>
            <color indexed="13"/>
            <rFont val="Tahoma"/>
            <family val="2"/>
          </rPr>
          <t>FUNDACION GEPIC</t>
        </r>
        <r>
          <rPr>
            <b/>
            <u/>
            <sz val="8"/>
            <color indexed="9"/>
            <rFont val="Tahoma"/>
            <family val="2"/>
          </rPr>
          <t xml:space="preserve">
</t>
        </r>
        <r>
          <rPr>
            <sz val="8"/>
            <color indexed="9"/>
            <rFont val="Tahoma"/>
            <family val="2"/>
          </rPr>
          <t xml:space="preserve">Para cambiar el logo hacer clic derecho sobre el logo y luego hacer clic en cambiar imagen elegir la imagen que quieres agregar
</t>
        </r>
      </text>
    </comment>
    <comment ref="B1" authorId="0">
      <text>
        <r>
          <rPr>
            <b/>
            <u/>
            <sz val="8"/>
            <color indexed="13"/>
            <rFont val="Tahoma"/>
            <family val="2"/>
          </rPr>
          <t>FUNDACION GEPIC</t>
        </r>
        <r>
          <rPr>
            <sz val="8"/>
            <color indexed="13"/>
            <rFont val="Tahoma"/>
            <family val="2"/>
          </rPr>
          <t xml:space="preserve">
</t>
        </r>
        <r>
          <rPr>
            <sz val="8"/>
            <color indexed="9"/>
            <rFont val="Tahoma"/>
            <family val="2"/>
          </rPr>
          <t>Digitar la sigla de la empresa</t>
        </r>
      </text>
    </comment>
    <comment ref="B2" authorId="0">
      <text>
        <r>
          <rPr>
            <b/>
            <u/>
            <sz val="8"/>
            <color indexed="13"/>
            <rFont val="Tahoma"/>
            <family val="2"/>
          </rPr>
          <t>FUNDACION GEPIC</t>
        </r>
        <r>
          <rPr>
            <sz val="8"/>
            <color indexed="13"/>
            <rFont val="Tahoma"/>
            <family val="2"/>
          </rPr>
          <t xml:space="preserve">
</t>
        </r>
        <r>
          <rPr>
            <sz val="8"/>
            <color indexed="9"/>
            <rFont val="Tahoma"/>
            <family val="2"/>
          </rPr>
          <t>Digitar el nombre de la empresa</t>
        </r>
      </text>
    </comment>
    <comment ref="N3" authorId="0">
      <text>
        <r>
          <rPr>
            <b/>
            <u/>
            <sz val="8"/>
            <color indexed="13"/>
            <rFont val="Tahoma"/>
            <family val="2"/>
          </rPr>
          <t>FUNDACION GEPIC</t>
        </r>
        <r>
          <rPr>
            <sz val="8"/>
            <color indexed="13"/>
            <rFont val="Tahoma"/>
            <family val="2"/>
          </rPr>
          <t xml:space="preserve">
</t>
        </r>
        <r>
          <rPr>
            <sz val="8"/>
            <color indexed="9"/>
            <rFont val="Tahoma"/>
            <family val="2"/>
          </rPr>
          <t>Digitar el periodo de pago de la empresa
(Opcional como quieras colocarlo)</t>
        </r>
      </text>
    </comment>
    <comment ref="B4" authorId="0">
      <text>
        <r>
          <rPr>
            <b/>
            <u/>
            <sz val="8"/>
            <color indexed="13"/>
            <rFont val="Tahoma"/>
            <family val="2"/>
          </rPr>
          <t>FUNDACION GEPIC</t>
        </r>
        <r>
          <rPr>
            <sz val="8"/>
            <color indexed="13"/>
            <rFont val="Tahoma"/>
            <family val="2"/>
          </rPr>
          <t xml:space="preserve">
</t>
        </r>
        <r>
          <rPr>
            <sz val="8"/>
            <color indexed="9"/>
            <rFont val="Tahoma"/>
            <family val="2"/>
          </rPr>
          <t>Digitar el nit de la empresa</t>
        </r>
      </text>
    </comment>
    <comment ref="A8" authorId="0">
      <text>
        <r>
          <rPr>
            <b/>
            <u/>
            <sz val="8"/>
            <color indexed="13"/>
            <rFont val="Tahoma"/>
            <family val="2"/>
          </rPr>
          <t>FUNDACION GEPIC</t>
        </r>
        <r>
          <rPr>
            <sz val="8"/>
            <color indexed="13"/>
            <rFont val="Tahoma"/>
            <family val="2"/>
          </rPr>
          <t xml:space="preserve">
</t>
        </r>
        <r>
          <rPr>
            <sz val="8"/>
            <color indexed="9"/>
            <rFont val="Tahoma"/>
            <family val="2"/>
          </rPr>
          <t>Digitar el nombre del empleado</t>
        </r>
      </text>
    </comment>
    <comment ref="B8" authorId="0">
      <text>
        <r>
          <rPr>
            <b/>
            <u/>
            <sz val="8"/>
            <color indexed="13"/>
            <rFont val="Tahoma"/>
            <family val="2"/>
          </rPr>
          <t>FUNDACION GEPIC</t>
        </r>
        <r>
          <rPr>
            <sz val="8"/>
            <color indexed="13"/>
            <rFont val="Tahoma"/>
            <family val="2"/>
          </rPr>
          <t xml:space="preserve">
</t>
        </r>
        <r>
          <rPr>
            <sz val="8"/>
            <color indexed="9"/>
            <rFont val="Tahoma"/>
            <family val="2"/>
          </rPr>
          <t>Digitar el sueldo básico mensual</t>
        </r>
      </text>
    </comment>
    <comment ref="C8" authorId="0">
      <text>
        <r>
          <rPr>
            <b/>
            <u/>
            <sz val="8"/>
            <color indexed="13"/>
            <rFont val="Tahoma"/>
            <family val="2"/>
          </rPr>
          <t>FUNDACION GEPIC</t>
        </r>
        <r>
          <rPr>
            <sz val="8"/>
            <color indexed="13"/>
            <rFont val="Tahoma"/>
            <family val="2"/>
          </rPr>
          <t xml:space="preserve">
</t>
        </r>
        <r>
          <rPr>
            <sz val="8"/>
            <color indexed="9"/>
            <rFont val="Tahoma"/>
            <family val="2"/>
          </rPr>
          <t>Digitar el numero de días a liquidar</t>
        </r>
      </text>
    </comment>
    <comment ref="F8" authorId="0">
      <text>
        <r>
          <rPr>
            <b/>
            <u/>
            <sz val="8"/>
            <color indexed="13"/>
            <rFont val="Tahoma"/>
            <family val="2"/>
          </rPr>
          <t>FUNDACION GEPIC</t>
        </r>
        <r>
          <rPr>
            <sz val="8"/>
            <color indexed="13"/>
            <rFont val="Tahoma"/>
            <family val="2"/>
          </rPr>
          <t xml:space="preserve">
</t>
        </r>
        <r>
          <rPr>
            <sz val="8"/>
            <color indexed="9"/>
            <rFont val="Tahoma"/>
            <family val="2"/>
          </rPr>
          <t xml:space="preserve">Digitar el valor de las horas extras
</t>
        </r>
        <r>
          <rPr>
            <b/>
            <sz val="8"/>
            <color indexed="9"/>
            <rFont val="Tahoma"/>
            <family val="2"/>
          </rPr>
          <t xml:space="preserve">NOTA: </t>
        </r>
        <r>
          <rPr>
            <sz val="8"/>
            <color indexed="51"/>
            <rFont val="Tahoma"/>
            <family val="2"/>
          </rPr>
          <t>Para calcular horas extras ir a la hoja Calculos</t>
        </r>
        <r>
          <rPr>
            <sz val="8"/>
            <color indexed="9"/>
            <rFont val="Tahoma"/>
            <family val="2"/>
          </rPr>
          <t xml:space="preserve">
</t>
        </r>
      </text>
    </comment>
    <comment ref="G8" authorId="0">
      <text>
        <r>
          <rPr>
            <b/>
            <u/>
            <sz val="8"/>
            <color indexed="13"/>
            <rFont val="Tahoma"/>
            <family val="2"/>
          </rPr>
          <t>FUNDACION GEPIC</t>
        </r>
        <r>
          <rPr>
            <sz val="8"/>
            <color indexed="13"/>
            <rFont val="Tahoma"/>
            <family val="2"/>
          </rPr>
          <t xml:space="preserve">
</t>
        </r>
        <r>
          <rPr>
            <sz val="8"/>
            <color indexed="9"/>
            <rFont val="Tahoma"/>
            <family val="2"/>
          </rPr>
          <t>Digitar el valor de las comisiones
(por lo general si gana comisiones no gana auxilio de transporte)</t>
        </r>
      </text>
    </comment>
    <comment ref="L8" authorId="0">
      <text>
        <r>
          <rPr>
            <b/>
            <u/>
            <sz val="8"/>
            <color indexed="13"/>
            <rFont val="Tahoma"/>
            <family val="2"/>
          </rPr>
          <t>FUNDACION GEPIC</t>
        </r>
        <r>
          <rPr>
            <sz val="8"/>
            <color indexed="13"/>
            <rFont val="Tahoma"/>
            <family val="2"/>
          </rPr>
          <t xml:space="preserve">
</t>
        </r>
        <r>
          <rPr>
            <sz val="8"/>
            <color indexed="9"/>
            <rFont val="Tahoma"/>
            <family val="2"/>
          </rPr>
          <t xml:space="preserve">Digitar el valor de la retención en la fuente
</t>
        </r>
        <r>
          <rPr>
            <b/>
            <sz val="8"/>
            <color indexed="13"/>
            <rFont val="Tahoma"/>
            <family val="2"/>
          </rPr>
          <t>NOTA:</t>
        </r>
        <r>
          <rPr>
            <sz val="8"/>
            <color indexed="13"/>
            <rFont val="Tahoma"/>
            <family val="2"/>
          </rPr>
          <t xml:space="preserve"> </t>
        </r>
        <r>
          <rPr>
            <sz val="8"/>
            <color indexed="9"/>
            <rFont val="Tahoma"/>
            <family val="2"/>
          </rPr>
          <t>Para calcular la retención en la fuente ir a la hoja Calculos</t>
        </r>
      </text>
    </comment>
    <comment ref="M8" authorId="0">
      <text>
        <r>
          <rPr>
            <b/>
            <u/>
            <sz val="8"/>
            <color indexed="13"/>
            <rFont val="Tahoma"/>
            <family val="2"/>
          </rPr>
          <t>FUNDACION GEPIC</t>
        </r>
        <r>
          <rPr>
            <sz val="8"/>
            <color indexed="13"/>
            <rFont val="Tahoma"/>
            <family val="2"/>
          </rPr>
          <t xml:space="preserve">
</t>
        </r>
        <r>
          <rPr>
            <sz val="8"/>
            <color indexed="9"/>
            <rFont val="Tahoma"/>
            <family val="2"/>
          </rPr>
          <t>Digitar el valor de
otras deducciones como embargos, libranzas, fondo de empleados, prestamos, etc</t>
        </r>
      </text>
    </comment>
    <comment ref="B15" authorId="1">
      <text>
        <r>
          <rPr>
            <b/>
            <sz val="8"/>
            <color indexed="81"/>
            <rFont val="Tahoma"/>
            <family val="2"/>
          </rPr>
          <t>Jairo Mosquera:</t>
        </r>
        <r>
          <rPr>
            <sz val="8"/>
            <color indexed="81"/>
            <rFont val="Tahoma"/>
            <family val="2"/>
          </rPr>
          <t xml:space="preserve">
Digitar el Comprobante de pago</t>
        </r>
      </text>
    </comment>
    <comment ref="B17" authorId="1">
      <text>
        <r>
          <rPr>
            <b/>
            <sz val="8"/>
            <color indexed="81"/>
            <rFont val="Tahoma"/>
            <family val="2"/>
          </rPr>
          <t>Jairo Mosquera:</t>
        </r>
        <r>
          <rPr>
            <sz val="8"/>
            <color indexed="81"/>
            <rFont val="Tahoma"/>
            <family val="2"/>
          </rPr>
          <t xml:space="preserve">
Digitar el o los numeros de cheques</t>
        </r>
      </text>
    </comment>
    <comment ref="A19" authorId="1">
      <text>
        <r>
          <rPr>
            <b/>
            <sz val="8"/>
            <color indexed="81"/>
            <rFont val="Tahoma"/>
            <family val="2"/>
          </rPr>
          <t>Jairo Mosquera:</t>
        </r>
        <r>
          <rPr>
            <sz val="8"/>
            <color indexed="81"/>
            <rFont val="Tahoma"/>
            <family val="2"/>
          </rPr>
          <t xml:space="preserve">
Digitar observaciones sobre esta nomina</t>
        </r>
      </text>
    </comment>
    <comment ref="A26" authorId="0">
      <text>
        <r>
          <rPr>
            <b/>
            <u/>
            <sz val="8"/>
            <color indexed="81"/>
            <rFont val="Tahoma"/>
            <family val="2"/>
          </rPr>
          <t>JAIRO MOSQUERA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Digitar el nombre
</t>
        </r>
      </text>
    </comment>
    <comment ref="B26" authorId="0">
      <text>
        <r>
          <rPr>
            <b/>
            <u/>
            <sz val="8"/>
            <color indexed="81"/>
            <rFont val="Tahoma"/>
            <family val="2"/>
          </rPr>
          <t>JAIRO MOSQUERA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Digitar el nombre
</t>
        </r>
      </text>
    </comment>
    <comment ref="F26" authorId="0">
      <text>
        <r>
          <rPr>
            <b/>
            <u/>
            <sz val="8"/>
            <color indexed="81"/>
            <rFont val="Tahoma"/>
            <family val="2"/>
          </rPr>
          <t>JAIRO MOSQUERA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Digitar el nombre
</t>
        </r>
      </text>
    </comment>
    <comment ref="A27" authorId="0">
      <text>
        <r>
          <rPr>
            <b/>
            <u/>
            <sz val="8"/>
            <color indexed="81"/>
            <rFont val="Tahoma"/>
            <family val="2"/>
          </rPr>
          <t>JAIRO MOSQUERA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Digitar el cargo
</t>
        </r>
      </text>
    </comment>
    <comment ref="B27" authorId="0">
      <text>
        <r>
          <rPr>
            <b/>
            <u/>
            <sz val="8"/>
            <color indexed="81"/>
            <rFont val="Tahoma"/>
            <family val="2"/>
          </rPr>
          <t>JAIRO MOSQUERA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Digitar el cargo
</t>
        </r>
      </text>
    </comment>
    <comment ref="F27" authorId="0">
      <text>
        <r>
          <rPr>
            <b/>
            <u/>
            <sz val="8"/>
            <color indexed="81"/>
            <rFont val="Tahoma"/>
            <family val="2"/>
          </rPr>
          <t>JAIRO MOSQUERA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Digitar el cargo
</t>
        </r>
      </text>
    </comment>
  </commentList>
</comments>
</file>

<file path=xl/sharedStrings.xml><?xml version="1.0" encoding="utf-8"?>
<sst xmlns="http://schemas.openxmlformats.org/spreadsheetml/2006/main" count="246" uniqueCount="184">
  <si>
    <t>Salario Minimo=</t>
  </si>
  <si>
    <t>Auxilio de Transporte=</t>
  </si>
  <si>
    <t>PAGOS PARAFISCALES</t>
  </si>
  <si>
    <t>SENA=</t>
  </si>
  <si>
    <t>ICBF=</t>
  </si>
  <si>
    <t>Descripción</t>
  </si>
  <si>
    <t>Empleado</t>
  </si>
  <si>
    <t>Empresa</t>
  </si>
  <si>
    <t>SALUD=</t>
  </si>
  <si>
    <t>PENSION=</t>
  </si>
  <si>
    <t>SEGURIDAD SOCIAL Y PENSION</t>
  </si>
  <si>
    <t>CARGAS PRESTACIONALES</t>
  </si>
  <si>
    <t>CESANTIA=</t>
  </si>
  <si>
    <t>CAJA DE COMPENSACION=</t>
  </si>
  <si>
    <t>PRIMA DE SERVICIOS=</t>
  </si>
  <si>
    <t>VACACIONES=</t>
  </si>
  <si>
    <t>INT S/CESANTIAS=</t>
  </si>
  <si>
    <t>FONDO DE SOLIDARIDAD PENSIONAL</t>
  </si>
  <si>
    <t>Para &gt;= 4 SMMLV</t>
  </si>
  <si>
    <t>Entre 16 SMMLV y 17 SMMLV</t>
  </si>
  <si>
    <t>Entre 18 SMMLV y 19 SMMLV</t>
  </si>
  <si>
    <t>Entre 17 SMMLV y 18 SMMLV</t>
  </si>
  <si>
    <t>Entre 19 SMMLV y 20 SMMLV</t>
  </si>
  <si>
    <t>Mayor de 20 SMMLV</t>
  </si>
  <si>
    <t>ADMINISTRADORA DE RIESGOS PROFESIONALES</t>
  </si>
  <si>
    <t>Administradora de Riesgos Profesionales=</t>
  </si>
  <si>
    <t>Valor UVT para calcular Retefuente*=</t>
  </si>
  <si>
    <t>* Utilizamos el procedimiento 1 para calcular la retefuente</t>
  </si>
  <si>
    <t>NOMBRE DEL EMPLEADO</t>
  </si>
  <si>
    <t>FUNDACION GEPIC</t>
  </si>
  <si>
    <t>FUNDACION PARA LA GESTION DE PROYECTOS INTEGRALES EN CORDOBA</t>
  </si>
  <si>
    <t>SUELDO BASICO</t>
  </si>
  <si>
    <t>DIAS LIQUIDADOS</t>
  </si>
  <si>
    <t>DEVENGADO</t>
  </si>
  <si>
    <t>TOTAL DEVENGADO</t>
  </si>
  <si>
    <t>DEDUCCIONES</t>
  </si>
  <si>
    <t>TOTAL DEDUCCIONES</t>
  </si>
  <si>
    <t>NETO PAGADO</t>
  </si>
  <si>
    <t>RECIBI CONFORME (FIRMA Y C.C.)</t>
  </si>
  <si>
    <t>BASICO</t>
  </si>
  <si>
    <t>AUXILIO DE TRANSPORTE</t>
  </si>
  <si>
    <t>HORAS EXTRAS</t>
  </si>
  <si>
    <t>COMISIONES</t>
  </si>
  <si>
    <t>SALUD</t>
  </si>
  <si>
    <t>PENSION</t>
  </si>
  <si>
    <t>FONDO DE SOLIDARIDAD</t>
  </si>
  <si>
    <t>RETENCION EN LA FUENTE</t>
  </si>
  <si>
    <t>OTRAS DEDUCCIONES</t>
  </si>
  <si>
    <t>TOTALES</t>
  </si>
  <si>
    <t>PERIODO DE PAGO</t>
  </si>
  <si>
    <t>812004257-1</t>
  </si>
  <si>
    <t>SON:</t>
  </si>
  <si>
    <t xml:space="preserve"> </t>
  </si>
  <si>
    <t>Comprobante de Pago Nº:</t>
  </si>
  <si>
    <t>Aportes Parafiscales</t>
  </si>
  <si>
    <t>Valor</t>
  </si>
  <si>
    <t>Otras Apropiaciones</t>
  </si>
  <si>
    <t>Salud</t>
  </si>
  <si>
    <t>Cesantia</t>
  </si>
  <si>
    <t>Cheques Nº</t>
  </si>
  <si>
    <t>Riesgos Profesionales</t>
  </si>
  <si>
    <t>Int. S/Cesantia</t>
  </si>
  <si>
    <t>Fondo de Pensiones</t>
  </si>
  <si>
    <t>Prima de Servicios</t>
  </si>
  <si>
    <t>ICBF</t>
  </si>
  <si>
    <t>Vacaciones</t>
  </si>
  <si>
    <t>SENA</t>
  </si>
  <si>
    <t>Esap</t>
  </si>
  <si>
    <t>Subsidio Familiar</t>
  </si>
  <si>
    <t>Escuelas industriales</t>
  </si>
  <si>
    <t>Subtotal</t>
  </si>
  <si>
    <t>Elaborador Por:</t>
  </si>
  <si>
    <t>Revisado Por:</t>
  </si>
  <si>
    <t>Aprobado Por:</t>
  </si>
  <si>
    <t>OTROS</t>
  </si>
  <si>
    <t>ESAP=</t>
  </si>
  <si>
    <t>ESCUELAS INDUSTRIALES=</t>
  </si>
  <si>
    <t>Valor en Pesos:</t>
  </si>
  <si>
    <t>← Digitar el valor</t>
  </si>
  <si>
    <t>Valor en Letras:</t>
  </si>
  <si>
    <t>Un</t>
  </si>
  <si>
    <t>Uno</t>
  </si>
  <si>
    <t>Centenas</t>
  </si>
  <si>
    <t>Billones</t>
  </si>
  <si>
    <t>Dos</t>
  </si>
  <si>
    <t>Decenas</t>
  </si>
  <si>
    <t>Tres</t>
  </si>
  <si>
    <t>Unidades</t>
  </si>
  <si>
    <t>Cuatro</t>
  </si>
  <si>
    <t>Miles de Millones</t>
  </si>
  <si>
    <t>Cinco</t>
  </si>
  <si>
    <t>Seis</t>
  </si>
  <si>
    <t>Siete</t>
  </si>
  <si>
    <t>Millones</t>
  </si>
  <si>
    <t>Ocho</t>
  </si>
  <si>
    <t>Nueve</t>
  </si>
  <si>
    <t>Diez</t>
  </si>
  <si>
    <t>Miles</t>
  </si>
  <si>
    <t>Once</t>
  </si>
  <si>
    <t>Doce</t>
  </si>
  <si>
    <t>Trece</t>
  </si>
  <si>
    <t>Cientos</t>
  </si>
  <si>
    <t>Catorce</t>
  </si>
  <si>
    <t>Quince</t>
  </si>
  <si>
    <t>Dieciséis</t>
  </si>
  <si>
    <t>Diecisiete</t>
  </si>
  <si>
    <t>Dieciocho</t>
  </si>
  <si>
    <t>Diecinueve</t>
  </si>
  <si>
    <t>Veinte</t>
  </si>
  <si>
    <t>Veintiuno</t>
  </si>
  <si>
    <t>Veintiun</t>
  </si>
  <si>
    <t>Veintidós</t>
  </si>
  <si>
    <t>Veintitrés</t>
  </si>
  <si>
    <t>Veinticuatro</t>
  </si>
  <si>
    <t>Veinticinco</t>
  </si>
  <si>
    <t>Veintiséis</t>
  </si>
  <si>
    <t>Veintisiete</t>
  </si>
  <si>
    <t>Veintiocho</t>
  </si>
  <si>
    <t>Veintinueve</t>
  </si>
  <si>
    <t>Treinta</t>
  </si>
  <si>
    <t>Cuarenta</t>
  </si>
  <si>
    <t>Cincuenta</t>
  </si>
  <si>
    <t>Sesenta</t>
  </si>
  <si>
    <t>Setenta</t>
  </si>
  <si>
    <t>Ochenta</t>
  </si>
  <si>
    <t>Noventa</t>
  </si>
  <si>
    <t>Cien</t>
  </si>
  <si>
    <t>Ciento</t>
  </si>
  <si>
    <t>Doscientos</t>
  </si>
  <si>
    <t>Trescientos</t>
  </si>
  <si>
    <t>Cuatrocientos</t>
  </si>
  <si>
    <t>Quinientos</t>
  </si>
  <si>
    <t>Seiscientos</t>
  </si>
  <si>
    <t>Setecientos</t>
  </si>
  <si>
    <t>Ochocientos</t>
  </si>
  <si>
    <t>Novecientos</t>
  </si>
  <si>
    <t>Recargo Nocturno=</t>
  </si>
  <si>
    <t>Hora extra diurna=</t>
  </si>
  <si>
    <t>Hora extra nocturna=</t>
  </si>
  <si>
    <t>Hora Ordinaria dominical o festivo=</t>
  </si>
  <si>
    <t>Hora extra diurna dominical o festivo=</t>
  </si>
  <si>
    <t>Hora extra nocturna dominical o festivo=</t>
  </si>
  <si>
    <t>HORAS EXTRAS Y RECARGOS NOCTURNOS</t>
  </si>
  <si>
    <t>CALCULAR HORAS EXTRAS Y RECARGOS NOCTURNOS</t>
  </si>
  <si>
    <t>Sueldo básico mensual=</t>
  </si>
  <si>
    <t>Valor Hora=</t>
  </si>
  <si>
    <t>TOTAL</t>
  </si>
  <si>
    <t xml:space="preserve">Sueldos ordinarios, más las primas Extralegales y otros (Art.385 E.T) </t>
  </si>
  <si>
    <t xml:space="preserve">Total valor recibido directa o indirectamente </t>
  </si>
  <si>
    <t>Si los pagos equivalen a periodos inferiores a 30 días, indicar entonces el número de días:</t>
  </si>
  <si>
    <t>Total Base bruta para el cálculo (Art. 385 del E.T.)</t>
  </si>
  <si>
    <t>Menos Ingresos no gravados:</t>
  </si>
  <si>
    <t>La Parte recibida en "alimentación" (Salario en Especie) - Art. 387-1 E.T.</t>
  </si>
  <si>
    <t xml:space="preserve">Aportes (obligatorios y voluntarios) a fondos de pensiones o a las cuentas de ahorro AFC (no pueden exceder del 30% valor recibido en el mes): </t>
  </si>
  <si>
    <t>Aportes Obligatorios pensiones: Art. 126-1 E.T</t>
  </si>
  <si>
    <t>Aportes voluntarios pensiones: Art. 126-1 E.T. (Hecho por el trabajador o que la empresa le hizo a su favor)</t>
  </si>
  <si>
    <t>Aportes cuentas de ahorro AFC: Art. 126-4 E.T.</t>
  </si>
  <si>
    <t>Total aportes LIMITADO más Alimentación</t>
  </si>
  <si>
    <t>Menos Rentas exentas especiales (Art. 206 E.T.):</t>
  </si>
  <si>
    <t>1. Indemnizaciones por accidente de trabajo o enfermedad</t>
  </si>
  <si>
    <t>2. Indemnizaciones que impliquen protección a la maternidad</t>
  </si>
  <si>
    <t>3. Lo recibido por gastos de entierro del trabajador</t>
  </si>
  <si>
    <t>4. Lo recibido por gastos de Representación de algunos funcionarios oficiales</t>
  </si>
  <si>
    <t>5. Exención para miembros de las fuerzas armadas.</t>
  </si>
  <si>
    <t xml:space="preserve">Subtotal 1 </t>
  </si>
  <si>
    <t>Menos Rentas exentas (25% del subtotal 1. sin exceder, en el gran total, de la suma de 240 UVT) (E.T. art.206, num. 10.)</t>
  </si>
  <si>
    <t xml:space="preserve">Subtotal 2 </t>
  </si>
  <si>
    <t xml:space="preserve">Menos: Pagos por intereses en crédito de adquisición de vivienda o costo financiero (Leasing) hechos durante 2008 (la deducción por este concepto, cada mes durante el 2008, no puede exceder de 100 UVT), Ó los pagos por salud prepagada, seguros de salud y gastos de educación de su esposa e hijos en el 2008 (no pueden exceder del 15% de subtotal 2) </t>
  </si>
  <si>
    <t>a). Intereses o costo financiero Leasing habitacional</t>
  </si>
  <si>
    <t>b). Por salud Prepagada y educación (puede coexistir los conceptos de salud y educación sin exceder el 15% del subtotal 2.)</t>
  </si>
  <si>
    <t>c). Por aportes Salud Obligatoria (Sentencia Corte Constitucional C-711 de 2001; DIAN, Conc.043973 Mayo/08)</t>
  </si>
  <si>
    <t xml:space="preserve">Subtotal 3 (“pago gravable”) </t>
  </si>
  <si>
    <t>Salario gravable en UVT</t>
  </si>
  <si>
    <t>El subtotal 3 expresado en UVT se busca en la tabla y la Retención en la fuente a practicar en UVT es: &gt;&gt;&gt;</t>
  </si>
  <si>
    <t>El valor en pesos de la retención a practicar según "Procedimiento Uno" es:&gt;&gt;&gt;</t>
  </si>
  <si>
    <t> Concepto (Procedimiento No. 1)</t>
  </si>
  <si>
    <t>CALCULAR RETENCION EN LA FUENTE</t>
  </si>
  <si>
    <t>Rangos en UVT</t>
  </si>
  <si>
    <t>Tarifa Marginal</t>
  </si>
  <si>
    <t>Desde</t>
  </si>
  <si>
    <t>Hasta</t>
  </si>
  <si>
    <t>En adelante</t>
  </si>
  <si>
    <t>&gt; 0</t>
  </si>
  <si>
    <t>Puntos adicionales</t>
  </si>
</sst>
</file>

<file path=xl/styles.xml><?xml version="1.0" encoding="utf-8"?>
<styleSheet xmlns="http://schemas.openxmlformats.org/spreadsheetml/2006/main">
  <numFmts count="15">
    <numFmt numFmtId="44" formatCode="_ &quot;$&quot;\ * #,##0.00_ ;_ &quot;$&quot;\ * \-#,##0.00_ ;_ &quot;$&quot;\ * &quot;-&quot;??_ ;_ @_ "/>
    <numFmt numFmtId="164" formatCode="[$$-240A]\ #,##0_ ;[Red]\-[$$-240A]\ #,##0\ "/>
    <numFmt numFmtId="165" formatCode="0.000%"/>
    <numFmt numFmtId="166" formatCode="&quot;$&quot;\ #,##0"/>
    <numFmt numFmtId="167" formatCode="[$$-240A]\ #,##0"/>
    <numFmt numFmtId="168" formatCode="&quot;NIT: &quot;@"/>
    <numFmt numFmtId="169" formatCode="&quot;Neto pagado &quot;[$$-240A]\ #,##0"/>
    <numFmt numFmtId="170" formatCode="[$$-240A]\ #,##0_);\([$$-240A]\ #,##0\)"/>
    <numFmt numFmtId="171" formatCode="&quot;Total Apropiaciones &quot;[$$-240A]\ #,##0"/>
    <numFmt numFmtId="172" formatCode="#,##0.00000"/>
    <numFmt numFmtId="173" formatCode="#,##0;\(#,##0\)"/>
    <numFmt numFmtId="174" formatCode="#,##0.00\ \U\V\T;\(#,##0.00\ \U\V\T\)"/>
    <numFmt numFmtId="175" formatCode="&quot;$&quot;\ #,##0_);\(&quot;$&quot;\ #,##0\)"/>
    <numFmt numFmtId="176" formatCode="&quot;&gt; &quot;#,##0"/>
    <numFmt numFmtId="177" formatCode="&quot;+ &quot;\ 0\ &quot;UVT&quot;"/>
  </numFmts>
  <fonts count="4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indexed="81"/>
      <name val="Tahoma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6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10"/>
      <color theme="1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3"/>
      <color theme="1"/>
      <name val="Calibri"/>
      <family val="2"/>
      <scheme val="minor"/>
    </font>
    <font>
      <b/>
      <u/>
      <sz val="8"/>
      <color indexed="9"/>
      <name val="Tahoma"/>
      <family val="2"/>
    </font>
    <font>
      <sz val="8"/>
      <color indexed="9"/>
      <name val="Tahoma"/>
      <family val="2"/>
    </font>
    <font>
      <b/>
      <u/>
      <sz val="8"/>
      <color indexed="13"/>
      <name val="Tahoma"/>
      <family val="2"/>
    </font>
    <font>
      <sz val="8"/>
      <color indexed="13"/>
      <name val="Tahoma"/>
      <family val="2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Arial Narrow"/>
      <family val="2"/>
    </font>
    <font>
      <sz val="11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8"/>
      <color indexed="9"/>
      <name val="Tahoma"/>
      <family val="2"/>
    </font>
    <font>
      <sz val="8"/>
      <color indexed="51"/>
      <name val="Tahoma"/>
      <family val="2"/>
    </font>
    <font>
      <sz val="12"/>
      <name val="Arial Narrow"/>
      <family val="2"/>
    </font>
    <font>
      <sz val="11"/>
      <name val="Calibri"/>
      <family val="2"/>
    </font>
    <font>
      <b/>
      <sz val="11"/>
      <name val="Calibri"/>
      <family val="2"/>
    </font>
    <font>
      <b/>
      <u/>
      <sz val="11"/>
      <name val="Calibri"/>
      <family val="2"/>
    </font>
    <font>
      <b/>
      <u/>
      <sz val="8"/>
      <color indexed="81"/>
      <name val="Tahoma"/>
      <family val="2"/>
    </font>
    <font>
      <b/>
      <sz val="10"/>
      <name val="Arial"/>
      <family val="2"/>
    </font>
    <font>
      <b/>
      <i/>
      <sz val="10"/>
      <color theme="0"/>
      <name val="Arial"/>
      <family val="2"/>
    </font>
    <font>
      <b/>
      <sz val="10"/>
      <color theme="1"/>
      <name val="Arial"/>
      <family val="2"/>
    </font>
    <font>
      <b/>
      <sz val="8"/>
      <color indexed="13"/>
      <name val="Tahoma"/>
      <family val="2"/>
    </font>
    <font>
      <sz val="1"/>
      <color theme="0"/>
      <name val="Calibri"/>
      <family val="2"/>
      <scheme val="minor"/>
    </font>
    <font>
      <b/>
      <sz val="1"/>
      <color theme="0"/>
      <name val="Calibri"/>
      <family val="2"/>
      <scheme val="minor"/>
    </font>
    <font>
      <b/>
      <sz val="1"/>
      <color theme="0"/>
      <name val="Calibri"/>
      <family val="2"/>
    </font>
    <font>
      <sz val="1"/>
      <color theme="0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24" fillId="6" borderId="0" applyNumberFormat="0" applyBorder="0" applyAlignment="0" applyProtection="0"/>
    <xf numFmtId="0" fontId="28" fillId="0" borderId="0"/>
  </cellStyleXfs>
  <cellXfs count="209">
    <xf numFmtId="0" fontId="0" fillId="0" borderId="0" xfId="0"/>
    <xf numFmtId="0" fontId="0" fillId="2" borderId="0" xfId="0" applyFill="1" applyProtection="1">
      <protection hidden="1"/>
    </xf>
    <xf numFmtId="0" fontId="1" fillId="3" borderId="1" xfId="0" applyFont="1" applyFill="1" applyBorder="1" applyAlignment="1" applyProtection="1">
      <alignment horizontal="left" vertical="center"/>
      <protection hidden="1"/>
    </xf>
    <xf numFmtId="164" fontId="0" fillId="2" borderId="1" xfId="0" applyNumberFormat="1" applyFill="1" applyBorder="1" applyProtection="1">
      <protection locked="0"/>
    </xf>
    <xf numFmtId="0" fontId="3" fillId="2" borderId="0" xfId="1" applyFill="1" applyAlignment="1" applyProtection="1">
      <protection hidden="1"/>
    </xf>
    <xf numFmtId="0" fontId="0" fillId="2" borderId="0" xfId="0" applyFill="1" applyAlignment="1" applyProtection="1">
      <alignment vertical="center"/>
      <protection hidden="1"/>
    </xf>
    <xf numFmtId="10" fontId="0" fillId="2" borderId="1" xfId="2" applyNumberFormat="1" applyFont="1" applyFill="1" applyBorder="1" applyProtection="1">
      <protection locked="0"/>
    </xf>
    <xf numFmtId="0" fontId="1" fillId="4" borderId="1" xfId="0" applyFont="1" applyFill="1" applyBorder="1" applyAlignment="1" applyProtection="1">
      <alignment horizontal="center"/>
      <protection hidden="1"/>
    </xf>
    <xf numFmtId="165" fontId="0" fillId="2" borderId="1" xfId="2" applyNumberFormat="1" applyFont="1" applyFill="1" applyBorder="1" applyProtection="1">
      <protection locked="0"/>
    </xf>
    <xf numFmtId="10" fontId="0" fillId="2" borderId="3" xfId="2" applyNumberFormat="1" applyFont="1" applyFill="1" applyBorder="1" applyProtection="1">
      <protection locked="0"/>
    </xf>
    <xf numFmtId="166" fontId="0" fillId="2" borderId="1" xfId="0" applyNumberFormat="1" applyFill="1" applyBorder="1" applyAlignment="1" applyProtection="1">
      <alignment horizontal="center" shrinkToFit="1"/>
      <protection hidden="1"/>
    </xf>
    <xf numFmtId="166" fontId="0" fillId="2" borderId="1" xfId="0" applyNumberFormat="1" applyFill="1" applyBorder="1" applyAlignment="1" applyProtection="1">
      <alignment shrinkToFit="1"/>
      <protection hidden="1"/>
    </xf>
    <xf numFmtId="3" fontId="0" fillId="2" borderId="1" xfId="2" applyNumberFormat="1" applyFont="1" applyFill="1" applyBorder="1" applyAlignment="1" applyProtection="1">
      <alignment horizontal="right"/>
      <protection locked="0"/>
    </xf>
    <xf numFmtId="0" fontId="0" fillId="2" borderId="0" xfId="0" applyFill="1" applyAlignment="1" applyProtection="1">
      <alignment vertical="top"/>
      <protection hidden="1"/>
    </xf>
    <xf numFmtId="167" fontId="0" fillId="2" borderId="0" xfId="0" applyNumberFormat="1" applyFill="1" applyProtection="1">
      <protection hidden="1"/>
    </xf>
    <xf numFmtId="0" fontId="0" fillId="2" borderId="0" xfId="0" applyFill="1"/>
    <xf numFmtId="0" fontId="9" fillId="5" borderId="1" xfId="0" applyFont="1" applyFill="1" applyBorder="1" applyAlignment="1" applyProtection="1">
      <alignment horizontal="center"/>
      <protection hidden="1"/>
    </xf>
    <xf numFmtId="0" fontId="12" fillId="5" borderId="26" xfId="0" applyFont="1" applyFill="1" applyBorder="1" applyAlignment="1" applyProtection="1">
      <alignment horizontal="center" vertical="center" shrinkToFit="1"/>
      <protection hidden="1"/>
    </xf>
    <xf numFmtId="166" fontId="12" fillId="5" borderId="27" xfId="0" applyNumberFormat="1" applyFont="1" applyFill="1" applyBorder="1" applyAlignment="1" applyProtection="1">
      <alignment horizontal="right" vertical="center" shrinkToFit="1"/>
      <protection hidden="1"/>
    </xf>
    <xf numFmtId="3" fontId="12" fillId="5" borderId="27" xfId="0" applyNumberFormat="1" applyFont="1" applyFill="1" applyBorder="1" applyAlignment="1" applyProtection="1">
      <alignment horizontal="right" vertical="center" shrinkToFit="1"/>
      <protection hidden="1"/>
    </xf>
    <xf numFmtId="166" fontId="9" fillId="5" borderId="28" xfId="0" applyNumberFormat="1" applyFont="1" applyFill="1" applyBorder="1" applyAlignment="1" applyProtection="1">
      <alignment horizontal="right" vertical="center" shrinkToFit="1"/>
      <protection hidden="1"/>
    </xf>
    <xf numFmtId="166" fontId="11" fillId="2" borderId="22" xfId="0" applyNumberFormat="1" applyFont="1" applyFill="1" applyBorder="1" applyAlignment="1" applyProtection="1">
      <alignment horizontal="center" vertical="center" shrinkToFit="1"/>
      <protection hidden="1"/>
    </xf>
    <xf numFmtId="0" fontId="10" fillId="2" borderId="23" xfId="0" applyFont="1" applyFill="1" applyBorder="1" applyAlignment="1" applyProtection="1">
      <alignment horizontal="center" vertical="center" shrinkToFit="1"/>
      <protection hidden="1"/>
    </xf>
    <xf numFmtId="166" fontId="10" fillId="2" borderId="24" xfId="0" applyNumberFormat="1" applyFont="1" applyFill="1" applyBorder="1" applyAlignment="1" applyProtection="1">
      <alignment horizontal="center" vertical="center" shrinkToFit="1"/>
      <protection hidden="1"/>
    </xf>
    <xf numFmtId="0" fontId="10" fillId="2" borderId="24" xfId="0" applyFont="1" applyFill="1" applyBorder="1" applyAlignment="1" applyProtection="1">
      <alignment horizontal="center" vertical="center" shrinkToFit="1"/>
      <protection hidden="1"/>
    </xf>
    <xf numFmtId="166" fontId="11" fillId="2" borderId="25" xfId="0" applyNumberFormat="1" applyFont="1" applyFill="1" applyBorder="1" applyAlignment="1" applyProtection="1">
      <alignment horizontal="center" vertical="center" shrinkToFit="1"/>
      <protection hidden="1"/>
    </xf>
    <xf numFmtId="166" fontId="10" fillId="2" borderId="1" xfId="0" applyNumberFormat="1" applyFont="1" applyFill="1" applyBorder="1" applyAlignment="1" applyProtection="1">
      <alignment vertical="center" shrinkToFit="1"/>
      <protection hidden="1"/>
    </xf>
    <xf numFmtId="166" fontId="10" fillId="2" borderId="24" xfId="0" applyNumberFormat="1" applyFont="1" applyFill="1" applyBorder="1" applyAlignment="1" applyProtection="1">
      <alignment vertical="center" shrinkToFit="1"/>
      <protection hidden="1"/>
    </xf>
    <xf numFmtId="0" fontId="9" fillId="5" borderId="29" xfId="0" applyFont="1" applyFill="1" applyBorder="1" applyAlignment="1" applyProtection="1">
      <protection hidden="1"/>
    </xf>
    <xf numFmtId="0" fontId="9" fillId="5" borderId="30" xfId="0" applyFont="1" applyFill="1" applyBorder="1" applyAlignment="1" applyProtection="1">
      <alignment horizontal="center"/>
      <protection hidden="1"/>
    </xf>
    <xf numFmtId="0" fontId="11" fillId="2" borderId="0" xfId="0" applyFont="1" applyFill="1" applyAlignment="1" applyProtection="1">
      <alignment shrinkToFit="1"/>
      <protection hidden="1"/>
    </xf>
    <xf numFmtId="0" fontId="18" fillId="2" borderId="31" xfId="0" applyFont="1" applyFill="1" applyBorder="1" applyAlignment="1" applyProtection="1">
      <alignment horizontal="center"/>
      <protection hidden="1"/>
    </xf>
    <xf numFmtId="0" fontId="11" fillId="2" borderId="0" xfId="0" applyFont="1" applyFill="1" applyProtection="1">
      <protection hidden="1"/>
    </xf>
    <xf numFmtId="0" fontId="12" fillId="2" borderId="1" xfId="0" applyFont="1" applyFill="1" applyBorder="1" applyAlignment="1" applyProtection="1">
      <alignment horizontal="center"/>
      <protection hidden="1"/>
    </xf>
    <xf numFmtId="170" fontId="10" fillId="2" borderId="1" xfId="3" applyNumberFormat="1" applyFont="1" applyFill="1" applyBorder="1" applyAlignment="1" applyProtection="1">
      <alignment horizontal="right"/>
      <protection hidden="1"/>
    </xf>
    <xf numFmtId="166" fontId="10" fillId="2" borderId="1" xfId="0" applyNumberFormat="1" applyFont="1" applyFill="1" applyBorder="1" applyAlignment="1" applyProtection="1">
      <alignment horizontal="right"/>
      <protection hidden="1"/>
    </xf>
    <xf numFmtId="170" fontId="12" fillId="2" borderId="1" xfId="0" applyNumberFormat="1" applyFont="1" applyFill="1" applyBorder="1" applyProtection="1">
      <protection hidden="1"/>
    </xf>
    <xf numFmtId="170" fontId="12" fillId="2" borderId="1" xfId="0" applyNumberFormat="1" applyFont="1" applyFill="1" applyBorder="1" applyAlignment="1" applyProtection="1">
      <alignment horizontal="right"/>
      <protection hidden="1"/>
    </xf>
    <xf numFmtId="0" fontId="18" fillId="2" borderId="34" xfId="0" applyFont="1" applyFill="1" applyBorder="1" applyAlignment="1" applyProtection="1">
      <alignment horizontal="center"/>
      <protection hidden="1"/>
    </xf>
    <xf numFmtId="171" fontId="18" fillId="2" borderId="0" xfId="0" applyNumberFormat="1" applyFont="1" applyFill="1" applyBorder="1" applyAlignment="1" applyProtection="1">
      <alignment horizontal="center" vertical="center"/>
      <protection hidden="1"/>
    </xf>
    <xf numFmtId="10" fontId="0" fillId="2" borderId="1" xfId="2" applyNumberFormat="1" applyFont="1" applyFill="1" applyBorder="1" applyAlignment="1" applyProtection="1">
      <alignment vertical="center"/>
      <protection locked="0"/>
    </xf>
    <xf numFmtId="0" fontId="9" fillId="5" borderId="1" xfId="0" applyFont="1" applyFill="1" applyBorder="1" applyAlignment="1" applyProtection="1">
      <alignment horizontal="center" wrapText="1"/>
      <protection hidden="1"/>
    </xf>
    <xf numFmtId="0" fontId="12" fillId="2" borderId="3" xfId="0" applyFont="1" applyFill="1" applyBorder="1" applyAlignment="1" applyProtection="1">
      <alignment horizontal="center"/>
      <protection hidden="1"/>
    </xf>
    <xf numFmtId="0" fontId="12" fillId="2" borderId="4" xfId="0" applyFont="1" applyFill="1" applyBorder="1" applyAlignment="1" applyProtection="1">
      <alignment horizontal="center"/>
      <protection hidden="1"/>
    </xf>
    <xf numFmtId="0" fontId="10" fillId="2" borderId="3" xfId="0" applyFont="1" applyFill="1" applyBorder="1" applyAlignment="1" applyProtection="1">
      <alignment horizontal="left"/>
      <protection hidden="1"/>
    </xf>
    <xf numFmtId="0" fontId="10" fillId="2" borderId="4" xfId="0" applyFont="1" applyFill="1" applyBorder="1" applyAlignment="1" applyProtection="1">
      <alignment horizontal="left"/>
      <protection hidden="1"/>
    </xf>
    <xf numFmtId="4" fontId="0" fillId="2" borderId="1" xfId="0" applyNumberFormat="1" applyFill="1" applyBorder="1" applyAlignment="1" applyProtection="1">
      <alignment horizontal="center" shrinkToFit="1"/>
      <protection hidden="1"/>
    </xf>
    <xf numFmtId="166" fontId="0" fillId="2" borderId="0" xfId="0" applyNumberFormat="1" applyFill="1" applyProtection="1">
      <protection locked="0"/>
    </xf>
    <xf numFmtId="166" fontId="0" fillId="2" borderId="0" xfId="0" applyNumberFormat="1" applyFill="1" applyProtection="1">
      <protection hidden="1"/>
    </xf>
    <xf numFmtId="0" fontId="22" fillId="8" borderId="1" xfId="0" applyFont="1" applyFill="1" applyBorder="1" applyAlignment="1" applyProtection="1">
      <alignment horizontal="left" vertical="center"/>
      <protection hidden="1"/>
    </xf>
    <xf numFmtId="0" fontId="0" fillId="2" borderId="1" xfId="0" applyFill="1" applyBorder="1" applyAlignment="1" applyProtection="1">
      <alignment horizontal="center"/>
      <protection locked="0"/>
    </xf>
    <xf numFmtId="0" fontId="22" fillId="8" borderId="1" xfId="0" applyFont="1" applyFill="1" applyBorder="1" applyAlignment="1" applyProtection="1">
      <alignment horizontal="center" vertical="center"/>
      <protection hidden="1"/>
    </xf>
    <xf numFmtId="166" fontId="22" fillId="8" borderId="1" xfId="0" applyNumberFormat="1" applyFont="1" applyFill="1" applyBorder="1" applyAlignment="1" applyProtection="1">
      <alignment horizontal="right" vertical="center" shrinkToFit="1"/>
      <protection hidden="1"/>
    </xf>
    <xf numFmtId="0" fontId="30" fillId="5" borderId="1" xfId="5" applyFont="1" applyFill="1" applyBorder="1" applyAlignment="1" applyProtection="1">
      <alignment horizontal="center" vertical="center" wrapText="1"/>
      <protection hidden="1"/>
    </xf>
    <xf numFmtId="0" fontId="29" fillId="7" borderId="1" xfId="4" applyFont="1" applyFill="1" applyBorder="1" applyAlignment="1" applyProtection="1">
      <alignment horizontal="justify" vertical="top" wrapText="1"/>
      <protection hidden="1"/>
    </xf>
    <xf numFmtId="0" fontId="30" fillId="0" borderId="1" xfId="4" applyFont="1" applyFill="1" applyBorder="1" applyAlignment="1" applyProtection="1">
      <alignment horizontal="center" vertical="top" wrapText="1"/>
      <protection hidden="1"/>
    </xf>
    <xf numFmtId="0" fontId="29" fillId="7" borderId="1" xfId="4" applyFont="1" applyFill="1" applyBorder="1" applyAlignment="1" applyProtection="1">
      <alignment vertical="top" wrapText="1"/>
      <protection hidden="1"/>
    </xf>
    <xf numFmtId="0" fontId="29" fillId="7" borderId="1" xfId="4" applyFont="1" applyFill="1" applyBorder="1" applyAlignment="1" applyProtection="1">
      <alignment horizontal="left" vertical="top" wrapText="1" indent="2"/>
      <protection hidden="1"/>
    </xf>
    <xf numFmtId="0" fontId="29" fillId="7" borderId="1" xfId="4" applyFont="1" applyFill="1" applyBorder="1" applyAlignment="1" applyProtection="1">
      <alignment horizontal="left" vertical="justify" wrapText="1" indent="2"/>
      <protection hidden="1"/>
    </xf>
    <xf numFmtId="0" fontId="29" fillId="0" borderId="1" xfId="4" applyFont="1" applyFill="1" applyBorder="1" applyAlignment="1" applyProtection="1">
      <alignment horizontal="justify" vertical="top" wrapText="1"/>
      <protection hidden="1"/>
    </xf>
    <xf numFmtId="0" fontId="29" fillId="0" borderId="1" xfId="4" applyFont="1" applyFill="1" applyBorder="1" applyAlignment="1" applyProtection="1">
      <alignment wrapText="1"/>
      <protection hidden="1"/>
    </xf>
    <xf numFmtId="0" fontId="31" fillId="5" borderId="1" xfId="4" applyFont="1" applyFill="1" applyBorder="1" applyAlignment="1" applyProtection="1">
      <alignment horizontal="center" wrapText="1"/>
      <protection hidden="1"/>
    </xf>
    <xf numFmtId="0" fontId="34" fillId="3" borderId="19" xfId="0" applyFont="1" applyFill="1" applyBorder="1" applyAlignment="1" applyProtection="1">
      <alignment horizontal="center" vertical="center" wrapText="1"/>
      <protection hidden="1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33" fillId="0" borderId="19" xfId="0" applyFont="1" applyBorder="1" applyAlignment="1" applyProtection="1">
      <alignment horizontal="center" vertical="top" wrapText="1"/>
      <protection hidden="1"/>
    </xf>
    <xf numFmtId="0" fontId="33" fillId="0" borderId="1" xfId="0" applyFont="1" applyBorder="1" applyAlignment="1" applyProtection="1">
      <alignment horizontal="center" vertical="top" wrapText="1"/>
      <protection locked="0"/>
    </xf>
    <xf numFmtId="9" fontId="33" fillId="0" borderId="22" xfId="0" applyNumberFormat="1" applyFont="1" applyBorder="1" applyAlignment="1" applyProtection="1">
      <alignment horizontal="center" vertical="top" wrapText="1"/>
      <protection hidden="1"/>
    </xf>
    <xf numFmtId="176" fontId="33" fillId="0" borderId="19" xfId="0" applyNumberFormat="1" applyFont="1" applyBorder="1" applyAlignment="1" applyProtection="1">
      <alignment horizontal="center" vertical="top" wrapText="1"/>
      <protection hidden="1"/>
    </xf>
    <xf numFmtId="177" fontId="33" fillId="0" borderId="22" xfId="0" applyNumberFormat="1" applyFont="1" applyBorder="1" applyAlignment="1" applyProtection="1">
      <alignment horizontal="center" vertical="top" wrapText="1"/>
      <protection locked="0"/>
    </xf>
    <xf numFmtId="176" fontId="33" fillId="0" borderId="26" xfId="0" applyNumberFormat="1" applyFont="1" applyBorder="1" applyAlignment="1" applyProtection="1">
      <alignment horizontal="center" vertical="top" wrapText="1"/>
      <protection hidden="1"/>
    </xf>
    <xf numFmtId="0" fontId="33" fillId="0" borderId="27" xfId="0" applyFont="1" applyBorder="1" applyAlignment="1" applyProtection="1">
      <alignment horizontal="center" vertical="top" wrapText="1"/>
      <protection hidden="1"/>
    </xf>
    <xf numFmtId="9" fontId="33" fillId="0" borderId="1" xfId="0" applyNumberFormat="1" applyFont="1" applyBorder="1" applyAlignment="1" applyProtection="1">
      <alignment horizontal="center" vertical="top" wrapText="1"/>
      <protection locked="0"/>
    </xf>
    <xf numFmtId="9" fontId="35" fillId="0" borderId="27" xfId="0" applyNumberFormat="1" applyFont="1" applyBorder="1" applyAlignment="1" applyProtection="1">
      <alignment horizontal="center" vertical="top" wrapText="1"/>
      <protection locked="0"/>
    </xf>
    <xf numFmtId="177" fontId="33" fillId="0" borderId="28" xfId="0" applyNumberFormat="1" applyFont="1" applyBorder="1" applyAlignment="1" applyProtection="1">
      <alignment horizontal="center" vertical="top" wrapText="1"/>
      <protection locked="0"/>
    </xf>
    <xf numFmtId="0" fontId="37" fillId="2" borderId="0" xfId="0" applyFon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10" fillId="2" borderId="19" xfId="0" applyFont="1" applyFill="1" applyBorder="1" applyAlignment="1" applyProtection="1">
      <alignment horizontal="center" vertical="center" shrinkToFit="1"/>
      <protection locked="0"/>
    </xf>
    <xf numFmtId="166" fontId="10" fillId="2" borderId="1" xfId="0" applyNumberFormat="1" applyFont="1" applyFill="1" applyBorder="1" applyAlignment="1" applyProtection="1">
      <alignment horizontal="right" vertical="center" shrinkToFit="1"/>
      <protection locked="0"/>
    </xf>
    <xf numFmtId="0" fontId="10" fillId="2" borderId="1" xfId="0" applyFont="1" applyFill="1" applyBorder="1" applyAlignment="1" applyProtection="1">
      <alignment horizontal="center" vertical="center" shrinkToFit="1"/>
      <protection locked="0"/>
    </xf>
    <xf numFmtId="166" fontId="10" fillId="2" borderId="1" xfId="0" applyNumberFormat="1" applyFont="1" applyFill="1" applyBorder="1" applyAlignment="1" applyProtection="1">
      <alignment vertical="center" shrinkToFit="1"/>
      <protection locked="0"/>
    </xf>
    <xf numFmtId="0" fontId="11" fillId="2" borderId="26" xfId="0" applyFont="1" applyFill="1" applyBorder="1" applyAlignment="1" applyProtection="1">
      <alignment horizontal="center"/>
      <protection locked="0"/>
    </xf>
    <xf numFmtId="0" fontId="18" fillId="2" borderId="19" xfId="0" applyFont="1" applyFill="1" applyBorder="1" applyAlignment="1" applyProtection="1">
      <alignment horizontal="center"/>
      <protection hidden="1"/>
    </xf>
    <xf numFmtId="0" fontId="11" fillId="2" borderId="19" xfId="0" applyFont="1" applyFill="1" applyBorder="1" applyAlignment="1" applyProtection="1">
      <alignment horizontal="center"/>
      <protection locked="0"/>
    </xf>
    <xf numFmtId="0" fontId="37" fillId="2" borderId="0" xfId="0" applyFont="1" applyFill="1" applyBorder="1" applyProtection="1">
      <protection hidden="1"/>
    </xf>
    <xf numFmtId="172" fontId="37" fillId="2" borderId="0" xfId="0" applyNumberFormat="1" applyFont="1" applyFill="1" applyBorder="1" applyAlignment="1" applyProtection="1">
      <alignment horizontal="center"/>
      <protection hidden="1"/>
    </xf>
    <xf numFmtId="1" fontId="37" fillId="2" borderId="0" xfId="0" applyNumberFormat="1" applyFont="1" applyFill="1" applyBorder="1" applyAlignment="1" applyProtection="1">
      <alignment horizontal="center"/>
      <protection hidden="1"/>
    </xf>
    <xf numFmtId="0" fontId="39" fillId="2" borderId="0" xfId="0" applyFont="1" applyFill="1" applyBorder="1" applyProtection="1">
      <protection hidden="1"/>
    </xf>
    <xf numFmtId="0" fontId="37" fillId="2" borderId="0" xfId="0" applyFont="1" applyFill="1" applyBorder="1" applyAlignment="1" applyProtection="1">
      <alignment horizontal="center"/>
      <protection hidden="1"/>
    </xf>
    <xf numFmtId="166" fontId="37" fillId="2" borderId="0" xfId="0" applyNumberFormat="1" applyFont="1" applyFill="1" applyBorder="1" applyAlignment="1" applyProtection="1">
      <alignment horizontal="center"/>
      <protection hidden="1"/>
    </xf>
    <xf numFmtId="166" fontId="37" fillId="2" borderId="0" xfId="0" applyNumberFormat="1" applyFont="1" applyFill="1" applyBorder="1" applyProtection="1">
      <protection hidden="1"/>
    </xf>
    <xf numFmtId="0" fontId="37" fillId="2" borderId="0" xfId="0" applyFont="1" applyFill="1" applyBorder="1" applyAlignment="1" applyProtection="1">
      <alignment horizontal="center" vertical="top" wrapText="1"/>
      <protection hidden="1"/>
    </xf>
    <xf numFmtId="0" fontId="37" fillId="2" borderId="0" xfId="0" applyFont="1" applyFill="1" applyBorder="1" applyAlignment="1" applyProtection="1">
      <alignment vertical="top" wrapText="1"/>
      <protection hidden="1"/>
    </xf>
    <xf numFmtId="3" fontId="37" fillId="2" borderId="0" xfId="0" applyNumberFormat="1" applyFont="1" applyFill="1" applyBorder="1" applyAlignment="1" applyProtection="1">
      <alignment horizontal="center"/>
      <protection hidden="1"/>
    </xf>
    <xf numFmtId="0" fontId="40" fillId="2" borderId="0" xfId="0" applyFont="1" applyFill="1" applyBorder="1" applyProtection="1">
      <protection hidden="1"/>
    </xf>
    <xf numFmtId="0" fontId="34" fillId="3" borderId="34" xfId="0" applyFont="1" applyFill="1" applyBorder="1" applyAlignment="1" applyProtection="1">
      <alignment horizontal="center" vertical="center" wrapText="1"/>
      <protection hidden="1"/>
    </xf>
    <xf numFmtId="0" fontId="34" fillId="3" borderId="13" xfId="0" applyFont="1" applyFill="1" applyBorder="1" applyAlignment="1" applyProtection="1">
      <alignment horizontal="center" vertical="center" wrapText="1"/>
      <protection hidden="1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34" fillId="3" borderId="44" xfId="0" applyFont="1" applyFill="1" applyBorder="1" applyAlignment="1" applyProtection="1">
      <alignment horizontal="center" vertical="center" wrapText="1"/>
      <protection hidden="1"/>
    </xf>
    <xf numFmtId="0" fontId="34" fillId="3" borderId="22" xfId="0" applyFont="1" applyFill="1" applyBorder="1" applyAlignment="1" applyProtection="1">
      <alignment horizontal="center" vertical="center" wrapText="1"/>
      <protection hidden="1"/>
    </xf>
    <xf numFmtId="0" fontId="6" fillId="2" borderId="2" xfId="0" applyFont="1" applyFill="1" applyBorder="1" applyAlignment="1" applyProtection="1">
      <alignment horizontal="center"/>
      <protection hidden="1"/>
    </xf>
    <xf numFmtId="0" fontId="5" fillId="2" borderId="2" xfId="0" applyFont="1" applyFill="1" applyBorder="1" applyAlignment="1" applyProtection="1">
      <alignment horizontal="center" vertical="center" wrapText="1"/>
      <protection hidden="1"/>
    </xf>
    <xf numFmtId="0" fontId="1" fillId="3" borderId="3" xfId="0" applyFont="1" applyFill="1" applyBorder="1" applyAlignment="1" applyProtection="1">
      <alignment horizontal="left" vertical="center"/>
      <protection hidden="1"/>
    </xf>
    <xf numFmtId="0" fontId="1" fillId="3" borderId="4" xfId="0" applyFont="1" applyFill="1" applyBorder="1" applyAlignment="1" applyProtection="1">
      <alignment horizontal="left" vertical="center"/>
      <protection hidden="1"/>
    </xf>
    <xf numFmtId="0" fontId="5" fillId="2" borderId="2" xfId="0" applyFont="1" applyFill="1" applyBorder="1" applyAlignment="1" applyProtection="1">
      <alignment horizontal="center"/>
      <protection hidden="1"/>
    </xf>
    <xf numFmtId="0" fontId="29" fillId="7" borderId="3" xfId="4" applyFont="1" applyFill="1" applyBorder="1" applyAlignment="1" applyProtection="1">
      <alignment horizontal="center" vertical="top" wrapText="1"/>
      <protection hidden="1"/>
    </xf>
    <xf numFmtId="0" fontId="29" fillId="7" borderId="43" xfId="4" applyFont="1" applyFill="1" applyBorder="1" applyAlignment="1" applyProtection="1">
      <alignment horizontal="center" vertical="top" wrapText="1"/>
      <protection hidden="1"/>
    </xf>
    <xf numFmtId="0" fontId="29" fillId="7" borderId="4" xfId="4" applyFont="1" applyFill="1" applyBorder="1" applyAlignment="1" applyProtection="1">
      <alignment horizontal="center" vertical="top" wrapText="1"/>
      <protection hidden="1"/>
    </xf>
    <xf numFmtId="166" fontId="29" fillId="2" borderId="1" xfId="4" applyNumberFormat="1" applyFont="1" applyFill="1" applyBorder="1" applyAlignment="1" applyProtection="1">
      <alignment horizontal="center" vertical="center" wrapText="1"/>
      <protection locked="0"/>
    </xf>
    <xf numFmtId="173" fontId="29" fillId="2" borderId="1" xfId="4" applyNumberFormat="1" applyFont="1" applyFill="1" applyBorder="1" applyAlignment="1" applyProtection="1">
      <alignment horizontal="center" vertical="center" wrapText="1"/>
      <protection locked="0"/>
    </xf>
    <xf numFmtId="166" fontId="29" fillId="2" borderId="1" xfId="4" applyNumberFormat="1" applyFont="1" applyFill="1" applyBorder="1" applyAlignment="1" applyProtection="1">
      <alignment horizontal="center" vertical="center" wrapText="1"/>
      <protection hidden="1"/>
    </xf>
    <xf numFmtId="0" fontId="29" fillId="0" borderId="3" xfId="4" applyFont="1" applyFill="1" applyBorder="1" applyAlignment="1" applyProtection="1">
      <alignment horizontal="center" vertical="top" wrapText="1"/>
      <protection hidden="1"/>
    </xf>
    <xf numFmtId="0" fontId="29" fillId="0" borderId="43" xfId="4" applyFont="1" applyFill="1" applyBorder="1" applyAlignment="1" applyProtection="1">
      <alignment horizontal="center" vertical="top" wrapText="1"/>
      <protection hidden="1"/>
    </xf>
    <xf numFmtId="0" fontId="29" fillId="0" borderId="4" xfId="4" applyFont="1" applyFill="1" applyBorder="1" applyAlignment="1" applyProtection="1">
      <alignment horizontal="center" vertical="top" wrapText="1"/>
      <protection hidden="1"/>
    </xf>
    <xf numFmtId="174" fontId="29" fillId="0" borderId="3" xfId="4" applyNumberFormat="1" applyFont="1" applyFill="1" applyBorder="1" applyAlignment="1" applyProtection="1">
      <alignment horizontal="center" vertical="center" wrapText="1"/>
      <protection hidden="1"/>
    </xf>
    <xf numFmtId="174" fontId="29" fillId="0" borderId="4" xfId="4" applyNumberFormat="1" applyFont="1" applyFill="1" applyBorder="1" applyAlignment="1" applyProtection="1">
      <alignment horizontal="center" vertical="center" wrapText="1"/>
      <protection hidden="1"/>
    </xf>
    <xf numFmtId="175" fontId="30" fillId="5" borderId="3" xfId="4" applyNumberFormat="1" applyFont="1" applyFill="1" applyBorder="1" applyAlignment="1" applyProtection="1">
      <alignment horizontal="center" vertical="center" wrapText="1"/>
      <protection hidden="1"/>
    </xf>
    <xf numFmtId="175" fontId="30" fillId="5" borderId="4" xfId="4" applyNumberFormat="1" applyFont="1" applyFill="1" applyBorder="1" applyAlignment="1" applyProtection="1">
      <alignment horizontal="center" vertical="center" wrapText="1"/>
      <protection hidden="1"/>
    </xf>
    <xf numFmtId="0" fontId="29" fillId="0" borderId="38" xfId="4" applyFont="1" applyFill="1" applyBorder="1" applyAlignment="1" applyProtection="1">
      <alignment horizontal="center" vertical="center" wrapText="1"/>
      <protection hidden="1"/>
    </xf>
    <xf numFmtId="0" fontId="29" fillId="0" borderId="39" xfId="4" applyFont="1" applyFill="1" applyBorder="1" applyAlignment="1" applyProtection="1">
      <alignment horizontal="center" vertical="center" wrapText="1"/>
      <protection hidden="1"/>
    </xf>
    <xf numFmtId="0" fontId="29" fillId="0" borderId="40" xfId="4" applyFont="1" applyFill="1" applyBorder="1" applyAlignment="1" applyProtection="1">
      <alignment horizontal="center" vertical="center" wrapText="1"/>
      <protection hidden="1"/>
    </xf>
    <xf numFmtId="0" fontId="29" fillId="0" borderId="36" xfId="4" applyFont="1" applyFill="1" applyBorder="1" applyAlignment="1" applyProtection="1">
      <alignment horizontal="center" vertical="center" wrapText="1"/>
      <protection hidden="1"/>
    </xf>
    <xf numFmtId="0" fontId="29" fillId="0" borderId="0" xfId="4" applyFont="1" applyFill="1" applyBorder="1" applyAlignment="1" applyProtection="1">
      <alignment horizontal="center" vertical="center" wrapText="1"/>
      <protection hidden="1"/>
    </xf>
    <xf numFmtId="0" fontId="29" fillId="0" borderId="37" xfId="4" applyFont="1" applyFill="1" applyBorder="1" applyAlignment="1" applyProtection="1">
      <alignment horizontal="center" vertical="center" wrapText="1"/>
      <protection hidden="1"/>
    </xf>
    <xf numFmtId="0" fontId="29" fillId="0" borderId="41" xfId="4" applyFont="1" applyFill="1" applyBorder="1" applyAlignment="1" applyProtection="1">
      <alignment horizontal="center" vertical="center" wrapText="1"/>
      <protection hidden="1"/>
    </xf>
    <xf numFmtId="0" fontId="29" fillId="0" borderId="2" xfId="4" applyFont="1" applyFill="1" applyBorder="1" applyAlignment="1" applyProtection="1">
      <alignment horizontal="center" vertical="center" wrapText="1"/>
      <protection hidden="1"/>
    </xf>
    <xf numFmtId="0" fontId="29" fillId="0" borderId="42" xfId="4" applyFont="1" applyFill="1" applyBorder="1" applyAlignment="1" applyProtection="1">
      <alignment horizontal="center" vertical="center" wrapText="1"/>
      <protection hidden="1"/>
    </xf>
    <xf numFmtId="166" fontId="29" fillId="2" borderId="3" xfId="4" applyNumberFormat="1" applyFont="1" applyFill="1" applyBorder="1" applyAlignment="1" applyProtection="1">
      <alignment horizontal="center" vertical="center" wrapText="1"/>
      <protection hidden="1"/>
    </xf>
    <xf numFmtId="166" fontId="29" fillId="2" borderId="4" xfId="4" applyNumberFormat="1" applyFont="1" applyFill="1" applyBorder="1" applyAlignment="1" applyProtection="1">
      <alignment horizontal="center" vertical="center" wrapText="1"/>
      <protection hidden="1"/>
    </xf>
    <xf numFmtId="0" fontId="25" fillId="2" borderId="2" xfId="0" applyFont="1" applyFill="1" applyBorder="1" applyAlignment="1" applyProtection="1">
      <alignment horizontal="center"/>
      <protection hidden="1"/>
    </xf>
    <xf numFmtId="0" fontId="25" fillId="2" borderId="0" xfId="0" applyFont="1" applyFill="1" applyAlignment="1" applyProtection="1">
      <alignment horizontal="center"/>
      <protection hidden="1"/>
    </xf>
    <xf numFmtId="166" fontId="29" fillId="2" borderId="38" xfId="4" applyNumberFormat="1" applyFont="1" applyFill="1" applyBorder="1" applyAlignment="1" applyProtection="1">
      <alignment horizontal="center" vertical="center" wrapText="1"/>
      <protection hidden="1"/>
    </xf>
    <xf numFmtId="166" fontId="29" fillId="2" borderId="40" xfId="4" applyNumberFormat="1" applyFont="1" applyFill="1" applyBorder="1" applyAlignment="1" applyProtection="1">
      <alignment horizontal="center" vertical="center" wrapText="1"/>
      <protection hidden="1"/>
    </xf>
    <xf numFmtId="166" fontId="29" fillId="2" borderId="41" xfId="4" applyNumberFormat="1" applyFont="1" applyFill="1" applyBorder="1" applyAlignment="1" applyProtection="1">
      <alignment horizontal="center" vertical="center" wrapText="1"/>
      <protection hidden="1"/>
    </xf>
    <xf numFmtId="166" fontId="29" fillId="2" borderId="42" xfId="4" applyNumberFormat="1" applyFont="1" applyFill="1" applyBorder="1" applyAlignment="1" applyProtection="1">
      <alignment horizontal="center" vertical="center" wrapText="1"/>
      <protection hidden="1"/>
    </xf>
    <xf numFmtId="0" fontId="29" fillId="7" borderId="1" xfId="4" applyFont="1" applyFill="1" applyBorder="1" applyAlignment="1" applyProtection="1">
      <alignment horizontal="justify" vertical="center" wrapText="1"/>
      <protection hidden="1"/>
    </xf>
    <xf numFmtId="173" fontId="30" fillId="5" borderId="1" xfId="5" applyNumberFormat="1" applyFont="1" applyFill="1" applyBorder="1" applyAlignment="1" applyProtection="1">
      <alignment horizontal="center" vertical="center" wrapText="1"/>
      <protection hidden="1"/>
    </xf>
    <xf numFmtId="0" fontId="38" fillId="2" borderId="0" xfId="0" applyFont="1" applyFill="1" applyBorder="1" applyAlignment="1" applyProtection="1">
      <alignment horizontal="center" vertical="center" wrapText="1"/>
      <protection hidden="1"/>
    </xf>
    <xf numFmtId="0" fontId="37" fillId="2" borderId="0" xfId="0" applyFont="1" applyFill="1" applyBorder="1" applyAlignment="1" applyProtection="1">
      <alignment horizontal="center" vertical="center" wrapText="1"/>
      <protection hidden="1"/>
    </xf>
    <xf numFmtId="0" fontId="11" fillId="2" borderId="1" xfId="0" applyFont="1" applyFill="1" applyBorder="1" applyAlignment="1" applyProtection="1">
      <alignment horizontal="center"/>
      <protection locked="0"/>
    </xf>
    <xf numFmtId="0" fontId="11" fillId="2" borderId="22" xfId="0" applyFont="1" applyFill="1" applyBorder="1" applyAlignment="1" applyProtection="1">
      <alignment horizontal="center"/>
      <protection locked="0"/>
    </xf>
    <xf numFmtId="0" fontId="38" fillId="2" borderId="0" xfId="0" applyFont="1" applyFill="1" applyBorder="1" applyAlignment="1" applyProtection="1">
      <alignment horizontal="center"/>
      <protection hidden="1"/>
    </xf>
    <xf numFmtId="0" fontId="38" fillId="2" borderId="0" xfId="0" applyFont="1" applyFill="1" applyBorder="1" applyAlignment="1" applyProtection="1">
      <alignment horizontal="center" vertical="center"/>
      <protection hidden="1"/>
    </xf>
    <xf numFmtId="0" fontId="11" fillId="2" borderId="27" xfId="0" applyFont="1" applyFill="1" applyBorder="1" applyAlignment="1" applyProtection="1">
      <alignment horizontal="center"/>
      <protection locked="0"/>
    </xf>
    <xf numFmtId="0" fontId="11" fillId="2" borderId="28" xfId="0" applyFont="1" applyFill="1" applyBorder="1" applyAlignment="1" applyProtection="1">
      <alignment horizontal="center"/>
      <protection locked="0"/>
    </xf>
    <xf numFmtId="166" fontId="37" fillId="2" borderId="0" xfId="0" applyNumberFormat="1" applyFont="1" applyFill="1" applyBorder="1" applyAlignment="1" applyProtection="1">
      <alignment horizontal="center"/>
      <protection hidden="1"/>
    </xf>
    <xf numFmtId="0" fontId="18" fillId="2" borderId="3" xfId="0" applyFont="1" applyFill="1" applyBorder="1" applyAlignment="1" applyProtection="1">
      <alignment horizontal="center"/>
      <protection hidden="1"/>
    </xf>
    <xf numFmtId="0" fontId="18" fillId="2" borderId="45" xfId="0" applyFont="1" applyFill="1" applyBorder="1" applyAlignment="1" applyProtection="1">
      <alignment horizontal="center"/>
      <protection hidden="1"/>
    </xf>
    <xf numFmtId="169" fontId="18" fillId="2" borderId="5" xfId="0" applyNumberFormat="1" applyFont="1" applyFill="1" applyBorder="1" applyAlignment="1" applyProtection="1">
      <alignment horizontal="center" vertical="center" shrinkToFit="1"/>
      <protection hidden="1"/>
    </xf>
    <xf numFmtId="169" fontId="18" fillId="2" borderId="7" xfId="0" applyNumberFormat="1" applyFont="1" applyFill="1" applyBorder="1" applyAlignment="1" applyProtection="1">
      <alignment horizontal="center" vertical="center" shrinkToFit="1"/>
      <protection hidden="1"/>
    </xf>
    <xf numFmtId="169" fontId="18" fillId="2" borderId="10" xfId="0" applyNumberFormat="1" applyFont="1" applyFill="1" applyBorder="1" applyAlignment="1" applyProtection="1">
      <alignment horizontal="center" vertical="center" shrinkToFit="1"/>
      <protection hidden="1"/>
    </xf>
    <xf numFmtId="169" fontId="18" fillId="2" borderId="12" xfId="0" applyNumberFormat="1" applyFont="1" applyFill="1" applyBorder="1" applyAlignment="1" applyProtection="1">
      <alignment horizontal="center" vertical="center" shrinkToFit="1"/>
      <protection hidden="1"/>
    </xf>
    <xf numFmtId="0" fontId="23" fillId="2" borderId="5" xfId="0" applyFont="1" applyFill="1" applyBorder="1" applyAlignment="1" applyProtection="1">
      <alignment horizontal="right" vertical="center" shrinkToFit="1"/>
      <protection hidden="1"/>
    </xf>
    <xf numFmtId="0" fontId="23" fillId="2" borderId="10" xfId="0" applyFont="1" applyFill="1" applyBorder="1" applyAlignment="1" applyProtection="1">
      <alignment horizontal="right" vertical="center" shrinkToFit="1"/>
      <protection hidden="1"/>
    </xf>
    <xf numFmtId="0" fontId="19" fillId="2" borderId="32" xfId="0" applyFont="1" applyFill="1" applyBorder="1" applyAlignment="1" applyProtection="1">
      <alignment horizontal="left"/>
      <protection locked="0"/>
    </xf>
    <xf numFmtId="0" fontId="19" fillId="2" borderId="33" xfId="0" applyFont="1" applyFill="1" applyBorder="1" applyAlignment="1" applyProtection="1">
      <alignment horizontal="left"/>
      <protection locked="0"/>
    </xf>
    <xf numFmtId="0" fontId="0" fillId="2" borderId="5" xfId="0" applyFill="1" applyBorder="1" applyAlignment="1" applyProtection="1">
      <alignment horizontal="center"/>
      <protection hidden="1"/>
    </xf>
    <xf numFmtId="0" fontId="0" fillId="2" borderId="8" xfId="0" applyFill="1" applyBorder="1" applyAlignment="1" applyProtection="1">
      <alignment horizontal="center"/>
      <protection hidden="1"/>
    </xf>
    <xf numFmtId="0" fontId="0" fillId="2" borderId="10" xfId="0" applyFill="1" applyBorder="1" applyAlignment="1" applyProtection="1">
      <alignment horizontal="center"/>
      <protection hidden="1"/>
    </xf>
    <xf numFmtId="0" fontId="9" fillId="5" borderId="13" xfId="0" applyFont="1" applyFill="1" applyBorder="1" applyAlignment="1" applyProtection="1">
      <alignment horizontal="center" wrapText="1"/>
      <protection hidden="1"/>
    </xf>
    <xf numFmtId="0" fontId="9" fillId="5" borderId="1" xfId="0" applyFont="1" applyFill="1" applyBorder="1" applyAlignment="1" applyProtection="1">
      <alignment horizontal="center" wrapText="1"/>
      <protection hidden="1"/>
    </xf>
    <xf numFmtId="0" fontId="23" fillId="2" borderId="6" xfId="0" applyFont="1" applyFill="1" applyBorder="1" applyAlignment="1" applyProtection="1">
      <alignment horizontal="left" vertical="center" wrapText="1" shrinkToFit="1" readingOrder="1"/>
      <protection hidden="1"/>
    </xf>
    <xf numFmtId="0" fontId="23" fillId="2" borderId="7" xfId="0" applyFont="1" applyFill="1" applyBorder="1" applyAlignment="1" applyProtection="1">
      <alignment horizontal="left" vertical="center" wrapText="1" shrinkToFit="1" readingOrder="1"/>
      <protection hidden="1"/>
    </xf>
    <xf numFmtId="0" fontId="23" fillId="2" borderId="11" xfId="0" applyFont="1" applyFill="1" applyBorder="1" applyAlignment="1" applyProtection="1">
      <alignment horizontal="left" vertical="center" wrapText="1" shrinkToFit="1" readingOrder="1"/>
      <protection hidden="1"/>
    </xf>
    <xf numFmtId="0" fontId="23" fillId="2" borderId="12" xfId="0" applyFont="1" applyFill="1" applyBorder="1" applyAlignment="1" applyProtection="1">
      <alignment horizontal="left" vertical="center" wrapText="1" shrinkToFit="1" readingOrder="1"/>
      <protection hidden="1"/>
    </xf>
    <xf numFmtId="0" fontId="12" fillId="2" borderId="3" xfId="0" applyFont="1" applyFill="1" applyBorder="1" applyAlignment="1" applyProtection="1">
      <alignment horizontal="center"/>
      <protection hidden="1"/>
    </xf>
    <xf numFmtId="0" fontId="12" fillId="2" borderId="4" xfId="0" applyFont="1" applyFill="1" applyBorder="1" applyAlignment="1" applyProtection="1">
      <alignment horizontal="center"/>
      <protection hidden="1"/>
    </xf>
    <xf numFmtId="0" fontId="8" fillId="2" borderId="6" xfId="0" applyFont="1" applyFill="1" applyBorder="1" applyAlignment="1" applyProtection="1">
      <alignment horizontal="center" vertical="center" wrapText="1"/>
      <protection locked="0"/>
    </xf>
    <xf numFmtId="0" fontId="8" fillId="2" borderId="7" xfId="0" applyFont="1" applyFill="1" applyBorder="1" applyAlignment="1" applyProtection="1">
      <alignment horizontal="center" vertical="center" wrapText="1"/>
      <protection locked="0"/>
    </xf>
    <xf numFmtId="0" fontId="7" fillId="2" borderId="0" xfId="0" applyFont="1" applyFill="1" applyBorder="1" applyAlignment="1" applyProtection="1">
      <alignment horizontal="center" vertical="center" wrapText="1"/>
      <protection locked="0"/>
    </xf>
    <xf numFmtId="0" fontId="7" fillId="2" borderId="9" xfId="0" applyFont="1" applyFill="1" applyBorder="1" applyAlignment="1" applyProtection="1">
      <alignment horizontal="center" vertical="center" wrapText="1"/>
      <protection locked="0"/>
    </xf>
    <xf numFmtId="168" fontId="0" fillId="2" borderId="11" xfId="0" applyNumberFormat="1" applyFill="1" applyBorder="1" applyAlignment="1" applyProtection="1">
      <alignment horizontal="center" vertical="top"/>
      <protection locked="0"/>
    </xf>
    <xf numFmtId="168" fontId="0" fillId="2" borderId="12" xfId="0" applyNumberFormat="1" applyFill="1" applyBorder="1" applyAlignment="1" applyProtection="1">
      <alignment horizontal="center" vertical="top"/>
      <protection locked="0"/>
    </xf>
    <xf numFmtId="0" fontId="18" fillId="2" borderId="43" xfId="0" applyFont="1" applyFill="1" applyBorder="1" applyAlignment="1" applyProtection="1">
      <alignment horizontal="center"/>
      <protection hidden="1"/>
    </xf>
    <xf numFmtId="0" fontId="18" fillId="2" borderId="4" xfId="0" applyFont="1" applyFill="1" applyBorder="1" applyAlignment="1" applyProtection="1">
      <alignment horizontal="center"/>
      <protection hidden="1"/>
    </xf>
    <xf numFmtId="0" fontId="13" fillId="2" borderId="5" xfId="0" applyFont="1" applyFill="1" applyBorder="1" applyAlignment="1" applyProtection="1">
      <alignment horizontal="center"/>
      <protection hidden="1"/>
    </xf>
    <xf numFmtId="0" fontId="13" fillId="2" borderId="6" xfId="0" applyFont="1" applyFill="1" applyBorder="1" applyAlignment="1" applyProtection="1">
      <alignment horizontal="center"/>
      <protection hidden="1"/>
    </xf>
    <xf numFmtId="0" fontId="13" fillId="2" borderId="7" xfId="0" applyFont="1" applyFill="1" applyBorder="1" applyAlignment="1" applyProtection="1">
      <alignment horizontal="center"/>
      <protection hidden="1"/>
    </xf>
    <xf numFmtId="0" fontId="13" fillId="2" borderId="8" xfId="0" applyFont="1" applyFill="1" applyBorder="1" applyAlignment="1" applyProtection="1">
      <alignment horizontal="center"/>
      <protection hidden="1"/>
    </xf>
    <xf numFmtId="0" fontId="13" fillId="2" borderId="0" xfId="0" applyFont="1" applyFill="1" applyBorder="1" applyAlignment="1" applyProtection="1">
      <alignment horizontal="center"/>
      <protection hidden="1"/>
    </xf>
    <xf numFmtId="0" fontId="13" fillId="2" borderId="9" xfId="0" applyFont="1" applyFill="1" applyBorder="1" applyAlignment="1" applyProtection="1">
      <alignment horizontal="center"/>
      <protection hidden="1"/>
    </xf>
    <xf numFmtId="0" fontId="0" fillId="2" borderId="8" xfId="0" applyFill="1" applyBorder="1" applyAlignment="1" applyProtection="1">
      <alignment horizontal="center" vertical="top"/>
      <protection locked="0"/>
    </xf>
    <xf numFmtId="0" fontId="0" fillId="2" borderId="0" xfId="0" applyFont="1" applyFill="1" applyBorder="1" applyAlignment="1" applyProtection="1">
      <alignment horizontal="center" vertical="top"/>
      <protection locked="0"/>
    </xf>
    <xf numFmtId="0" fontId="0" fillId="2" borderId="9" xfId="0" applyFont="1" applyFill="1" applyBorder="1" applyAlignment="1" applyProtection="1">
      <alignment horizontal="center" vertical="top"/>
      <protection locked="0"/>
    </xf>
    <xf numFmtId="0" fontId="0" fillId="2" borderId="10" xfId="0" applyFont="1" applyFill="1" applyBorder="1" applyAlignment="1" applyProtection="1">
      <alignment horizontal="center" vertical="top"/>
      <protection locked="0"/>
    </xf>
    <xf numFmtId="0" fontId="0" fillId="2" borderId="11" xfId="0" applyFont="1" applyFill="1" applyBorder="1" applyAlignment="1" applyProtection="1">
      <alignment horizontal="center" vertical="top"/>
      <protection locked="0"/>
    </xf>
    <xf numFmtId="0" fontId="0" fillId="2" borderId="12" xfId="0" applyFont="1" applyFill="1" applyBorder="1" applyAlignment="1" applyProtection="1">
      <alignment horizontal="center" vertical="top"/>
      <protection locked="0"/>
    </xf>
    <xf numFmtId="0" fontId="9" fillId="5" borderId="14" xfId="0" applyFont="1" applyFill="1" applyBorder="1" applyAlignment="1" applyProtection="1">
      <alignment horizontal="center" wrapText="1"/>
      <protection hidden="1"/>
    </xf>
    <xf numFmtId="0" fontId="9" fillId="5" borderId="20" xfId="0" applyFont="1" applyFill="1" applyBorder="1" applyAlignment="1" applyProtection="1">
      <alignment horizontal="center" wrapText="1"/>
      <protection hidden="1"/>
    </xf>
    <xf numFmtId="0" fontId="9" fillId="5" borderId="18" xfId="0" applyFont="1" applyFill="1" applyBorder="1" applyAlignment="1" applyProtection="1">
      <alignment horizontal="center" wrapText="1"/>
      <protection hidden="1"/>
    </xf>
    <xf numFmtId="0" fontId="9" fillId="5" borderId="21" xfId="0" applyFont="1" applyFill="1" applyBorder="1" applyAlignment="1" applyProtection="1">
      <alignment horizontal="center" wrapText="1"/>
      <protection hidden="1"/>
    </xf>
    <xf numFmtId="0" fontId="9" fillId="5" borderId="15" xfId="0" applyFont="1" applyFill="1" applyBorder="1" applyAlignment="1" applyProtection="1">
      <alignment horizontal="center"/>
      <protection hidden="1"/>
    </xf>
    <xf numFmtId="0" fontId="9" fillId="5" borderId="16" xfId="0" applyFont="1" applyFill="1" applyBorder="1" applyAlignment="1" applyProtection="1">
      <alignment horizontal="center"/>
      <protection hidden="1"/>
    </xf>
    <xf numFmtId="0" fontId="9" fillId="5" borderId="17" xfId="0" applyFont="1" applyFill="1" applyBorder="1" applyAlignment="1" applyProtection="1">
      <alignment horizontal="center"/>
      <protection hidden="1"/>
    </xf>
    <xf numFmtId="171" fontId="18" fillId="2" borderId="35" xfId="0" applyNumberFormat="1" applyFont="1" applyFill="1" applyBorder="1" applyAlignment="1" applyProtection="1">
      <alignment horizontal="center" vertical="center"/>
      <protection hidden="1"/>
    </xf>
    <xf numFmtId="171" fontId="18" fillId="2" borderId="32" xfId="0" applyNumberFormat="1" applyFont="1" applyFill="1" applyBorder="1" applyAlignment="1" applyProtection="1">
      <alignment horizontal="center" vertical="center"/>
      <protection hidden="1"/>
    </xf>
    <xf numFmtId="171" fontId="18" fillId="2" borderId="33" xfId="0" applyNumberFormat="1" applyFont="1" applyFill="1" applyBorder="1" applyAlignment="1" applyProtection="1">
      <alignment horizontal="center" vertical="center"/>
      <protection hidden="1"/>
    </xf>
    <xf numFmtId="0" fontId="18" fillId="2" borderId="13" xfId="0" applyFont="1" applyFill="1" applyBorder="1" applyAlignment="1" applyProtection="1">
      <alignment horizontal="center"/>
      <protection hidden="1"/>
    </xf>
    <xf numFmtId="0" fontId="18" fillId="2" borderId="44" xfId="0" applyFont="1" applyFill="1" applyBorder="1" applyAlignment="1" applyProtection="1">
      <alignment horizontal="center"/>
      <protection hidden="1"/>
    </xf>
    <xf numFmtId="0" fontId="10" fillId="2" borderId="3" xfId="0" applyFont="1" applyFill="1" applyBorder="1" applyAlignment="1" applyProtection="1">
      <alignment horizontal="left"/>
      <protection hidden="1"/>
    </xf>
    <xf numFmtId="0" fontId="10" fillId="2" borderId="4" xfId="0" applyFont="1" applyFill="1" applyBorder="1" applyAlignment="1" applyProtection="1">
      <alignment horizontal="left"/>
      <protection hidden="1"/>
    </xf>
    <xf numFmtId="0" fontId="10" fillId="2" borderId="5" xfId="0" applyFont="1" applyFill="1" applyBorder="1" applyAlignment="1" applyProtection="1">
      <alignment horizontal="justify" vertical="top"/>
      <protection locked="0"/>
    </xf>
    <xf numFmtId="0" fontId="10" fillId="2" borderId="6" xfId="0" applyFont="1" applyFill="1" applyBorder="1" applyAlignment="1" applyProtection="1">
      <alignment horizontal="justify" vertical="top"/>
      <protection locked="0"/>
    </xf>
    <xf numFmtId="0" fontId="10" fillId="2" borderId="7" xfId="0" applyFont="1" applyFill="1" applyBorder="1" applyAlignment="1" applyProtection="1">
      <alignment horizontal="justify" vertical="top"/>
      <protection locked="0"/>
    </xf>
    <xf numFmtId="0" fontId="10" fillId="2" borderId="8" xfId="0" applyFont="1" applyFill="1" applyBorder="1" applyAlignment="1" applyProtection="1">
      <alignment horizontal="justify" vertical="top"/>
      <protection locked="0"/>
    </xf>
    <xf numFmtId="0" fontId="10" fillId="2" borderId="0" xfId="0" applyFont="1" applyFill="1" applyBorder="1" applyAlignment="1" applyProtection="1">
      <alignment horizontal="justify" vertical="top"/>
      <protection locked="0"/>
    </xf>
    <xf numFmtId="0" fontId="10" fillId="2" borderId="9" xfId="0" applyFont="1" applyFill="1" applyBorder="1" applyAlignment="1" applyProtection="1">
      <alignment horizontal="justify" vertical="top"/>
      <protection locked="0"/>
    </xf>
    <xf numFmtId="0" fontId="10" fillId="2" borderId="10" xfId="0" applyFont="1" applyFill="1" applyBorder="1" applyAlignment="1" applyProtection="1">
      <alignment horizontal="justify" vertical="top"/>
      <protection locked="0"/>
    </xf>
    <xf numFmtId="0" fontId="10" fillId="2" borderId="11" xfId="0" applyFont="1" applyFill="1" applyBorder="1" applyAlignment="1" applyProtection="1">
      <alignment horizontal="justify" vertical="top"/>
      <protection locked="0"/>
    </xf>
    <xf numFmtId="0" fontId="10" fillId="2" borderId="12" xfId="0" applyFont="1" applyFill="1" applyBorder="1" applyAlignment="1" applyProtection="1">
      <alignment horizontal="justify" vertical="top"/>
      <protection locked="0"/>
    </xf>
  </cellXfs>
  <cellStyles count="6">
    <cellStyle name="Énfasis6" xfId="4" builtinId="49"/>
    <cellStyle name="Hipervínculo" xfId="1" builtinId="8"/>
    <cellStyle name="Moneda" xfId="3" builtinId="4"/>
    <cellStyle name="Normal" xfId="0" builtinId="0"/>
    <cellStyle name="Normal_Libro1" xfId="5"/>
    <cellStyle name="Porcentual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fundaciongepic.blogspot.com/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819148</xdr:colOff>
      <xdr:row>0</xdr:row>
      <xdr:rowOff>57149</xdr:rowOff>
    </xdr:from>
    <xdr:to>
      <xdr:col>5</xdr:col>
      <xdr:colOff>514350</xdr:colOff>
      <xdr:row>3</xdr:row>
      <xdr:rowOff>571499</xdr:rowOff>
    </xdr:to>
    <xdr:pic>
      <xdr:nvPicPr>
        <xdr:cNvPr id="3" name="2 Imagen" descr="CABEZOTE.png">
          <a:hlinkClick xmlns:r="http://schemas.openxmlformats.org/officeDocument/2006/relationships" r:id="rId1" tooltip="VISITAR PAGINA DE LA FUNDACION GEPIC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9148" y="57149"/>
          <a:ext cx="7067552" cy="1666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10</xdr:row>
      <xdr:rowOff>57150</xdr:rowOff>
    </xdr:from>
    <xdr:to>
      <xdr:col>5</xdr:col>
      <xdr:colOff>19050</xdr:colOff>
      <xdr:row>12</xdr:row>
      <xdr:rowOff>160782</xdr:rowOff>
    </xdr:to>
    <xdr:sp macro="" textlink="">
      <xdr:nvSpPr>
        <xdr:cNvPr id="3" name="2 Flecha izquierda"/>
        <xdr:cNvSpPr/>
      </xdr:nvSpPr>
      <xdr:spPr>
        <a:xfrm>
          <a:off x="4305300" y="1857375"/>
          <a:ext cx="1428750" cy="484632"/>
        </a:xfrm>
        <a:prstGeom prst="leftArrow">
          <a:avLst>
            <a:gd name="adj1" fmla="val 50000"/>
            <a:gd name="adj2" fmla="val 50000"/>
          </a:avLst>
        </a:prstGeom>
        <a:solidFill>
          <a:srgbClr val="002060"/>
        </a:solidFill>
        <a:scene3d>
          <a:camera prst="orthographicFront"/>
          <a:lightRig rig="threePt" dir="t"/>
        </a:scene3d>
        <a:sp3d>
          <a:bevelT/>
          <a:bevelB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AR" sz="1100" b="1"/>
            <a:t>Valor</a:t>
          </a:r>
          <a:r>
            <a:rPr lang="es-AR" sz="1100" b="1" baseline="0"/>
            <a:t> horas extras</a:t>
          </a:r>
          <a:endParaRPr lang="es-AR" sz="1100" b="1"/>
        </a:p>
      </xdr:txBody>
    </xdr:sp>
    <xdr:clientData/>
  </xdr:twoCellAnchor>
  <xdr:twoCellAnchor>
    <xdr:from>
      <xdr:col>3</xdr:col>
      <xdr:colOff>209550</xdr:colOff>
      <xdr:row>44</xdr:row>
      <xdr:rowOff>57150</xdr:rowOff>
    </xdr:from>
    <xdr:to>
      <xdr:col>5</xdr:col>
      <xdr:colOff>114300</xdr:colOff>
      <xdr:row>44</xdr:row>
      <xdr:rowOff>541782</xdr:rowOff>
    </xdr:to>
    <xdr:sp macro="" textlink="">
      <xdr:nvSpPr>
        <xdr:cNvPr id="4" name="3 Flecha izquierda"/>
        <xdr:cNvSpPr/>
      </xdr:nvSpPr>
      <xdr:spPr>
        <a:xfrm>
          <a:off x="4610100" y="13744575"/>
          <a:ext cx="1428750" cy="484632"/>
        </a:xfrm>
        <a:prstGeom prst="leftArrow">
          <a:avLst>
            <a:gd name="adj1" fmla="val 50000"/>
            <a:gd name="adj2" fmla="val 50000"/>
          </a:avLst>
        </a:prstGeom>
        <a:solidFill>
          <a:srgbClr val="002060"/>
        </a:solidFill>
        <a:scene3d>
          <a:camera prst="orthographicFront"/>
          <a:lightRig rig="threePt" dir="t"/>
        </a:scene3d>
        <a:sp3d>
          <a:bevelT/>
          <a:bevelB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AR" sz="1100" b="1"/>
            <a:t>Valor</a:t>
          </a:r>
          <a:r>
            <a:rPr lang="es-AR" sz="1100" b="1" baseline="0"/>
            <a:t>  Retención</a:t>
          </a:r>
          <a:endParaRPr lang="es-AR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513210</xdr:colOff>
      <xdr:row>0</xdr:row>
      <xdr:rowOff>47625</xdr:rowOff>
    </xdr:from>
    <xdr:to>
      <xdr:col>0</xdr:col>
      <xdr:colOff>1300085</xdr:colOff>
      <xdr:row>3</xdr:row>
      <xdr:rowOff>180974</xdr:rowOff>
    </xdr:to>
    <xdr:pic>
      <xdr:nvPicPr>
        <xdr:cNvPr id="2" name="1 Imagen" descr="GEPIC.bmp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13210" y="47625"/>
          <a:ext cx="786875" cy="800099"/>
        </a:xfrm>
        <a:prstGeom prst="rect">
          <a:avLst/>
        </a:prstGeom>
        <a:solidFill>
          <a:schemeClr val="accent1">
            <a:alpha val="0"/>
          </a:schemeClr>
        </a:solidFill>
      </xdr:spPr>
    </xdr:pic>
    <xdr:clientData fLocksWithSheet="0"/>
  </xdr:twoCellAnchor>
  <xdr:twoCellAnchor>
    <xdr:from>
      <xdr:col>4</xdr:col>
      <xdr:colOff>285750</xdr:colOff>
      <xdr:row>0</xdr:row>
      <xdr:rowOff>0</xdr:rowOff>
    </xdr:from>
    <xdr:to>
      <xdr:col>12</xdr:col>
      <xdr:colOff>571500</xdr:colOff>
      <xdr:row>4</xdr:row>
      <xdr:rowOff>0</xdr:rowOff>
    </xdr:to>
    <xdr:sp macro="" textlink="">
      <xdr:nvSpPr>
        <xdr:cNvPr id="3" name="2 Rectángulo"/>
        <xdr:cNvSpPr/>
      </xdr:nvSpPr>
      <xdr:spPr>
        <a:xfrm>
          <a:off x="4457700" y="0"/>
          <a:ext cx="7067550" cy="904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AR" sz="2000" b="1">
              <a:solidFill>
                <a:schemeClr val="tx1"/>
              </a:solidFill>
              <a:latin typeface="+mn-lt"/>
            </a:rPr>
            <a:t>NOMINA PARA PAGO DE SUELDO</a:t>
          </a:r>
        </a:p>
      </xdr:txBody>
    </xdr:sp>
    <xdr:clientData/>
  </xdr:twoCellAnchor>
  <xdr:twoCellAnchor>
    <xdr:from>
      <xdr:col>4</xdr:col>
      <xdr:colOff>371475</xdr:colOff>
      <xdr:row>2</xdr:row>
      <xdr:rowOff>152400</xdr:rowOff>
    </xdr:from>
    <xdr:to>
      <xdr:col>5</xdr:col>
      <xdr:colOff>438150</xdr:colOff>
      <xdr:row>3</xdr:row>
      <xdr:rowOff>190500</xdr:rowOff>
    </xdr:to>
    <xdr:sp macro="[0]!InsertarFila" textlink="">
      <xdr:nvSpPr>
        <xdr:cNvPr id="4" name="3 Rectángulo redondeado"/>
        <xdr:cNvSpPr/>
      </xdr:nvSpPr>
      <xdr:spPr>
        <a:xfrm>
          <a:off x="4543425" y="600075"/>
          <a:ext cx="914400" cy="2571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AR" sz="1100" b="1"/>
            <a:t>Insertar</a:t>
          </a:r>
          <a:r>
            <a:rPr lang="es-AR" sz="1100" b="1" baseline="0"/>
            <a:t> Fila</a:t>
          </a:r>
          <a:endParaRPr lang="es-AR" sz="1100" b="1"/>
        </a:p>
      </xdr:txBody>
    </xdr:sp>
    <xdr:clientData fPrintsWithSheet="0"/>
  </xdr:twoCellAnchor>
  <xdr:twoCellAnchor>
    <xdr:from>
      <xdr:col>5</xdr:col>
      <xdr:colOff>590549</xdr:colOff>
      <xdr:row>2</xdr:row>
      <xdr:rowOff>152400</xdr:rowOff>
    </xdr:from>
    <xdr:to>
      <xdr:col>6</xdr:col>
      <xdr:colOff>742949</xdr:colOff>
      <xdr:row>3</xdr:row>
      <xdr:rowOff>190500</xdr:rowOff>
    </xdr:to>
    <xdr:sp macro="[0]!Reestablecer" textlink="">
      <xdr:nvSpPr>
        <xdr:cNvPr id="5" name="4 Rectángulo redondeado"/>
        <xdr:cNvSpPr/>
      </xdr:nvSpPr>
      <xdr:spPr>
        <a:xfrm>
          <a:off x="5610224" y="600075"/>
          <a:ext cx="1000125" cy="257175"/>
        </a:xfrm>
        <a:prstGeom prst="round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AR" sz="1100" b="1"/>
            <a:t>Archivar</a:t>
          </a:r>
        </a:p>
      </xdr:txBody>
    </xdr:sp>
    <xdr:clientData fPrintsWithSheet="0"/>
  </xdr:twoCellAnchor>
  <xdr:twoCellAnchor>
    <xdr:from>
      <xdr:col>7</xdr:col>
      <xdr:colOff>57150</xdr:colOff>
      <xdr:row>2</xdr:row>
      <xdr:rowOff>152400</xdr:rowOff>
    </xdr:from>
    <xdr:to>
      <xdr:col>8</xdr:col>
      <xdr:colOff>209550</xdr:colOff>
      <xdr:row>3</xdr:row>
      <xdr:rowOff>190500</xdr:rowOff>
    </xdr:to>
    <xdr:sp macro="[0]!Reestablecer2" textlink="">
      <xdr:nvSpPr>
        <xdr:cNvPr id="6" name="5 Rectángulo redondeado"/>
        <xdr:cNvSpPr/>
      </xdr:nvSpPr>
      <xdr:spPr>
        <a:xfrm>
          <a:off x="6772275" y="600075"/>
          <a:ext cx="1000125" cy="257175"/>
        </a:xfrm>
        <a:prstGeom prst="roundRect">
          <a:avLst/>
        </a:prstGeom>
        <a:solidFill>
          <a:srgbClr val="00B050"/>
        </a:solidFill>
        <a:ln>
          <a:solidFill>
            <a:schemeClr val="accent3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AR" sz="1100" b="1"/>
            <a:t>Reestablecer</a:t>
          </a:r>
        </a:p>
      </xdr:txBody>
    </xdr:sp>
    <xdr:clientData fPrintsWithSheet="0"/>
  </xdr:twoCellAnchor>
  <xdr:twoCellAnchor>
    <xdr:from>
      <xdr:col>8</xdr:col>
      <xdr:colOff>361950</xdr:colOff>
      <xdr:row>2</xdr:row>
      <xdr:rowOff>152400</xdr:rowOff>
    </xdr:from>
    <xdr:to>
      <xdr:col>9</xdr:col>
      <xdr:colOff>514350</xdr:colOff>
      <xdr:row>3</xdr:row>
      <xdr:rowOff>190500</xdr:rowOff>
    </xdr:to>
    <xdr:sp macro="[0]!Eliminar" textlink="">
      <xdr:nvSpPr>
        <xdr:cNvPr id="7" name="6 Rectángulo redondeado"/>
        <xdr:cNvSpPr/>
      </xdr:nvSpPr>
      <xdr:spPr>
        <a:xfrm>
          <a:off x="7924800" y="600075"/>
          <a:ext cx="1000125" cy="257175"/>
        </a:xfrm>
        <a:prstGeom prst="roundRect">
          <a:avLst/>
        </a:prstGeom>
        <a:solidFill>
          <a:schemeClr val="bg2">
            <a:lumMod val="10000"/>
          </a:schemeClr>
        </a:solidFill>
        <a:ln>
          <a:solidFill>
            <a:schemeClr val="accent3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AR" sz="1100" b="1"/>
            <a:t>Eliminar</a:t>
          </a:r>
          <a:r>
            <a:rPr lang="es-AR" sz="1100" b="1" baseline="0"/>
            <a:t> Hoja</a:t>
          </a:r>
          <a:endParaRPr lang="es-AR" sz="1100" b="1"/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2:K38"/>
  <sheetViews>
    <sheetView workbookViewId="0">
      <selection activeCell="C18" sqref="C18"/>
    </sheetView>
  </sheetViews>
  <sheetFormatPr baseColWidth="10" defaultRowHeight="15"/>
  <cols>
    <col min="1" max="1" width="27.42578125" style="1" customWidth="1"/>
    <col min="2" max="2" width="13.28515625" style="1" customWidth="1"/>
    <col min="3" max="4" width="13.7109375" style="1" customWidth="1"/>
    <col min="5" max="5" width="42.42578125" style="1" customWidth="1"/>
    <col min="6" max="16384" width="11.42578125" style="1"/>
  </cols>
  <sheetData>
    <row r="2" spans="1:6" ht="30.75" customHeight="1"/>
    <row r="3" spans="1:6" ht="45" customHeight="1"/>
    <row r="4" spans="1:6" ht="51" customHeight="1">
      <c r="B4" s="4"/>
      <c r="C4" s="5"/>
    </row>
    <row r="5" spans="1:6">
      <c r="A5" s="2" t="s">
        <v>0</v>
      </c>
      <c r="B5" s="3">
        <v>496900</v>
      </c>
    </row>
    <row r="6" spans="1:6">
      <c r="A6" s="2" t="s">
        <v>1</v>
      </c>
      <c r="B6" s="3">
        <v>59300</v>
      </c>
    </row>
    <row r="8" spans="1:6" ht="21">
      <c r="A8" s="103" t="s">
        <v>2</v>
      </c>
      <c r="B8" s="103"/>
      <c r="D8" s="99" t="s">
        <v>24</v>
      </c>
      <c r="E8" s="99"/>
      <c r="F8" s="99"/>
    </row>
    <row r="9" spans="1:6">
      <c r="A9" s="2" t="s">
        <v>3</v>
      </c>
      <c r="B9" s="6">
        <v>0.02</v>
      </c>
      <c r="D9" s="101" t="s">
        <v>25</v>
      </c>
      <c r="E9" s="102"/>
      <c r="F9" s="8">
        <v>5.2199999999999998E-3</v>
      </c>
    </row>
    <row r="10" spans="1:6">
      <c r="A10" s="2" t="s">
        <v>4</v>
      </c>
      <c r="B10" s="6">
        <v>0.03</v>
      </c>
    </row>
    <row r="11" spans="1:6">
      <c r="A11" s="2" t="s">
        <v>13</v>
      </c>
      <c r="B11" s="6">
        <v>0.04</v>
      </c>
      <c r="D11" s="101" t="s">
        <v>26</v>
      </c>
      <c r="E11" s="102"/>
      <c r="F11" s="12">
        <v>23763</v>
      </c>
    </row>
    <row r="12" spans="1:6">
      <c r="D12" s="13" t="s">
        <v>27</v>
      </c>
      <c r="E12" s="13"/>
      <c r="F12" s="13"/>
    </row>
    <row r="13" spans="1:6" ht="21">
      <c r="A13" s="103" t="s">
        <v>10</v>
      </c>
      <c r="B13" s="103"/>
      <c r="C13" s="103"/>
    </row>
    <row r="14" spans="1:6" ht="21">
      <c r="A14" s="7" t="s">
        <v>5</v>
      </c>
      <c r="B14" s="7" t="s">
        <v>6</v>
      </c>
      <c r="C14" s="7" t="s">
        <v>7</v>
      </c>
      <c r="E14" s="103" t="s">
        <v>74</v>
      </c>
      <c r="F14" s="103"/>
    </row>
    <row r="15" spans="1:6">
      <c r="A15" s="2" t="s">
        <v>8</v>
      </c>
      <c r="B15" s="6">
        <v>0.04</v>
      </c>
      <c r="C15" s="6">
        <v>8.5000000000000006E-2</v>
      </c>
      <c r="E15" s="2" t="s">
        <v>75</v>
      </c>
      <c r="F15" s="6">
        <v>0.01</v>
      </c>
    </row>
    <row r="16" spans="1:6">
      <c r="A16" s="2" t="s">
        <v>9</v>
      </c>
      <c r="B16" s="6">
        <v>0.04</v>
      </c>
      <c r="C16" s="6">
        <v>0.12</v>
      </c>
      <c r="E16" s="2" t="s">
        <v>76</v>
      </c>
      <c r="F16" s="6">
        <v>0.01</v>
      </c>
    </row>
    <row r="18" spans="1:11" ht="21">
      <c r="A18" s="103" t="s">
        <v>11</v>
      </c>
      <c r="B18" s="103"/>
      <c r="D18" s="15"/>
      <c r="E18" s="103" t="s">
        <v>142</v>
      </c>
      <c r="F18" s="103"/>
      <c r="G18" s="103"/>
      <c r="H18" s="15"/>
      <c r="K18" s="14"/>
    </row>
    <row r="19" spans="1:11">
      <c r="A19" s="2" t="s">
        <v>12</v>
      </c>
      <c r="B19" s="40">
        <v>8.3333333333333343E-2</v>
      </c>
      <c r="D19" s="15"/>
      <c r="E19" s="2" t="s">
        <v>136</v>
      </c>
      <c r="F19" s="6">
        <v>0.35</v>
      </c>
      <c r="G19" s="46">
        <f>+F19+1</f>
        <v>1.35</v>
      </c>
      <c r="H19" s="15"/>
    </row>
    <row r="20" spans="1:11">
      <c r="A20" s="2" t="s">
        <v>14</v>
      </c>
      <c r="B20" s="6">
        <v>8.3333333333333343E-2</v>
      </c>
      <c r="D20" s="15"/>
      <c r="E20" s="2" t="s">
        <v>137</v>
      </c>
      <c r="F20" s="6">
        <v>0.25</v>
      </c>
      <c r="G20" s="46">
        <f t="shared" ref="G20:G24" si="0">+F20+1</f>
        <v>1.25</v>
      </c>
      <c r="H20" s="15"/>
    </row>
    <row r="21" spans="1:11">
      <c r="A21" s="2" t="s">
        <v>15</v>
      </c>
      <c r="B21" s="6">
        <v>4.1666666666666671E-2</v>
      </c>
      <c r="D21" s="15"/>
      <c r="E21" s="2" t="s">
        <v>138</v>
      </c>
      <c r="F21" s="6">
        <v>0.75</v>
      </c>
      <c r="G21" s="46">
        <f t="shared" si="0"/>
        <v>1.75</v>
      </c>
      <c r="H21" s="15"/>
    </row>
    <row r="22" spans="1:11">
      <c r="A22" s="2" t="s">
        <v>16</v>
      </c>
      <c r="B22" s="6">
        <v>0.01</v>
      </c>
      <c r="D22" s="15"/>
      <c r="E22" s="2" t="s">
        <v>139</v>
      </c>
      <c r="F22" s="6">
        <v>0.75</v>
      </c>
      <c r="G22" s="46">
        <f t="shared" si="0"/>
        <v>1.75</v>
      </c>
      <c r="H22" s="15"/>
    </row>
    <row r="23" spans="1:11">
      <c r="D23" s="15"/>
      <c r="E23" s="2" t="s">
        <v>140</v>
      </c>
      <c r="F23" s="6">
        <v>1</v>
      </c>
      <c r="G23" s="46">
        <f t="shared" si="0"/>
        <v>2</v>
      </c>
      <c r="H23" s="15"/>
    </row>
    <row r="24" spans="1:11">
      <c r="D24"/>
      <c r="E24" s="2" t="s">
        <v>141</v>
      </c>
      <c r="F24" s="6">
        <v>1.5</v>
      </c>
      <c r="G24" s="46">
        <f t="shared" si="0"/>
        <v>2.5</v>
      </c>
    </row>
    <row r="25" spans="1:11" ht="21">
      <c r="A25" s="100" t="s">
        <v>17</v>
      </c>
      <c r="B25" s="100"/>
      <c r="C25" s="100"/>
      <c r="D25" s="100"/>
    </row>
    <row r="26" spans="1:11">
      <c r="A26" s="2" t="s">
        <v>18</v>
      </c>
      <c r="B26" s="9">
        <v>0.01</v>
      </c>
      <c r="C26" s="10">
        <f>4*SM</f>
        <v>1987600</v>
      </c>
      <c r="D26" s="10">
        <f>16*SM</f>
        <v>7950400</v>
      </c>
    </row>
    <row r="27" spans="1:11">
      <c r="A27" s="2" t="s">
        <v>19</v>
      </c>
      <c r="B27" s="9">
        <v>1.2E-2</v>
      </c>
      <c r="C27" s="10">
        <f>+D26+1</f>
        <v>7950401</v>
      </c>
      <c r="D27" s="10">
        <f>17*SM</f>
        <v>8447300</v>
      </c>
    </row>
    <row r="28" spans="1:11">
      <c r="A28" s="2" t="s">
        <v>21</v>
      </c>
      <c r="B28" s="9">
        <v>1.4E-2</v>
      </c>
      <c r="C28" s="10">
        <f>+D27+1</f>
        <v>8447301</v>
      </c>
      <c r="D28" s="10">
        <f>18*SM</f>
        <v>8944200</v>
      </c>
    </row>
    <row r="29" spans="1:11">
      <c r="A29" s="2" t="s">
        <v>20</v>
      </c>
      <c r="B29" s="9">
        <v>1.6E-2</v>
      </c>
      <c r="C29" s="10">
        <f>+D28+1</f>
        <v>8944201</v>
      </c>
      <c r="D29" s="10">
        <f>19*SM</f>
        <v>9441100</v>
      </c>
    </row>
    <row r="30" spans="1:11">
      <c r="A30" s="2" t="s">
        <v>22</v>
      </c>
      <c r="B30" s="9">
        <v>1.7999999999999999E-2</v>
      </c>
      <c r="C30" s="10">
        <f>+D29+1</f>
        <v>9441101</v>
      </c>
      <c r="D30" s="10">
        <f>20*SM</f>
        <v>9938000</v>
      </c>
    </row>
    <row r="31" spans="1:11">
      <c r="A31" s="2" t="s">
        <v>23</v>
      </c>
      <c r="B31" s="9">
        <v>0.02</v>
      </c>
      <c r="C31" s="10">
        <f>+D30+1</f>
        <v>9938001</v>
      </c>
      <c r="D31" s="11"/>
    </row>
    <row r="32" spans="1:11" ht="15.75" thickBot="1"/>
    <row r="33" spans="1:5" ht="50.25" customHeight="1">
      <c r="A33" s="94" t="s">
        <v>177</v>
      </c>
      <c r="B33" s="95"/>
      <c r="C33" s="95" t="s">
        <v>178</v>
      </c>
      <c r="D33" s="97" t="s">
        <v>183</v>
      </c>
      <c r="E33" s="15"/>
    </row>
    <row r="34" spans="1:5">
      <c r="A34" s="62" t="s">
        <v>179</v>
      </c>
      <c r="B34" s="63" t="s">
        <v>180</v>
      </c>
      <c r="C34" s="96"/>
      <c r="D34" s="98"/>
      <c r="E34" s="15"/>
    </row>
    <row r="35" spans="1:5">
      <c r="A35" s="64" t="s">
        <v>182</v>
      </c>
      <c r="B35" s="65">
        <v>95</v>
      </c>
      <c r="C35" s="71">
        <v>0</v>
      </c>
      <c r="D35" s="66"/>
      <c r="E35" s="15"/>
    </row>
    <row r="36" spans="1:5">
      <c r="A36" s="67">
        <f>+B35</f>
        <v>95</v>
      </c>
      <c r="B36" s="65">
        <v>150</v>
      </c>
      <c r="C36" s="71">
        <v>0.19</v>
      </c>
      <c r="D36" s="66"/>
      <c r="E36" s="15"/>
    </row>
    <row r="37" spans="1:5">
      <c r="A37" s="67">
        <f t="shared" ref="A37:A38" si="1">+B36</f>
        <v>150</v>
      </c>
      <c r="B37" s="65">
        <v>360</v>
      </c>
      <c r="C37" s="71">
        <v>0.28000000000000003</v>
      </c>
      <c r="D37" s="68">
        <v>10</v>
      </c>
      <c r="E37" s="15"/>
    </row>
    <row r="38" spans="1:5" ht="15.75" thickBot="1">
      <c r="A38" s="69">
        <f t="shared" si="1"/>
        <v>360</v>
      </c>
      <c r="B38" s="70" t="s">
        <v>181</v>
      </c>
      <c r="C38" s="72">
        <v>0.33</v>
      </c>
      <c r="D38" s="73">
        <v>69</v>
      </c>
      <c r="E38" s="15"/>
    </row>
  </sheetData>
  <sheetProtection password="8AC8" sheet="1" objects="1" scenarios="1"/>
  <mergeCells count="12">
    <mergeCell ref="A33:B33"/>
    <mergeCell ref="C33:C34"/>
    <mergeCell ref="D33:D34"/>
    <mergeCell ref="D8:F8"/>
    <mergeCell ref="A25:D25"/>
    <mergeCell ref="D11:E11"/>
    <mergeCell ref="A8:B8"/>
    <mergeCell ref="A13:C13"/>
    <mergeCell ref="A18:B18"/>
    <mergeCell ref="D9:E9"/>
    <mergeCell ref="E14:F14"/>
    <mergeCell ref="E18:G18"/>
  </mergeCells>
  <dataValidations count="4">
    <dataValidation type="decimal" allowBlank="1" showInputMessage="1" showErrorMessage="1" errorTitle="FUNDACION GEPIC" error="Solo valores en porcentaje" sqref="F9 B26:B31 B15:C16 B19:B22 B9:B11 F15:F16">
      <formula1>0</formula1>
      <formula2>1</formula2>
    </dataValidation>
    <dataValidation type="whole" operator="greaterThan" allowBlank="1" showInputMessage="1" showErrorMessage="1" errorTitle="FUNDACION GEPIC" error="Numero entero mayor que 0" sqref="B5:B6">
      <formula1>0</formula1>
    </dataValidation>
    <dataValidation type="decimal" operator="greaterThan" allowBlank="1" showInputMessage="1" showErrorMessage="1" errorTitle="FUNDACION GEPIC" error="Solo valores en porcentaje" sqref="F11">
      <formula1>0</formula1>
    </dataValidation>
    <dataValidation type="decimal" allowBlank="1" showInputMessage="1" showErrorMessage="1" errorTitle="FUNDACION GEPIC" error="Solo valores en porcentaje" sqref="F19:F24">
      <formula1>0</formula1>
      <formula2>2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C45"/>
  <sheetViews>
    <sheetView workbookViewId="0">
      <selection activeCell="F17" sqref="F17"/>
    </sheetView>
  </sheetViews>
  <sheetFormatPr baseColWidth="10" defaultRowHeight="15"/>
  <cols>
    <col min="1" max="1" width="37.42578125" style="1" customWidth="1"/>
    <col min="2" max="2" width="12.7109375" style="1" customWidth="1"/>
    <col min="3" max="3" width="15.85546875" style="1" bestFit="1" customWidth="1"/>
    <col min="4" max="16384" width="11.42578125" style="1"/>
  </cols>
  <sheetData>
    <row r="1" spans="1:3" ht="15.75">
      <c r="A1" s="129" t="s">
        <v>143</v>
      </c>
      <c r="B1" s="129"/>
      <c r="C1" s="129"/>
    </row>
    <row r="2" spans="1:3" ht="6" customHeight="1"/>
    <row r="3" spans="1:3">
      <c r="A3" s="1" t="s">
        <v>144</v>
      </c>
      <c r="B3" s="47"/>
    </row>
    <row r="4" spans="1:3">
      <c r="A4" s="1" t="s">
        <v>145</v>
      </c>
      <c r="B4" s="48">
        <f>+B3/240</f>
        <v>0</v>
      </c>
    </row>
    <row r="6" spans="1:3">
      <c r="A6" s="49" t="s">
        <v>136</v>
      </c>
      <c r="B6" s="50"/>
      <c r="C6" s="11">
        <f>+B6*ValorHora*'Datos Básicos'!G19</f>
        <v>0</v>
      </c>
    </row>
    <row r="7" spans="1:3">
      <c r="A7" s="49" t="s">
        <v>137</v>
      </c>
      <c r="B7" s="50"/>
      <c r="C7" s="11">
        <f>+B7*ValorHora*'Datos Básicos'!G20</f>
        <v>0</v>
      </c>
    </row>
    <row r="8" spans="1:3">
      <c r="A8" s="49" t="s">
        <v>138</v>
      </c>
      <c r="B8" s="50"/>
      <c r="C8" s="11">
        <f>+B8*ValorHora*'Datos Básicos'!G21</f>
        <v>0</v>
      </c>
    </row>
    <row r="9" spans="1:3">
      <c r="A9" s="49" t="s">
        <v>139</v>
      </c>
      <c r="B9" s="50"/>
      <c r="C9" s="11">
        <f>+B9*ValorHora*'Datos Básicos'!G22</f>
        <v>0</v>
      </c>
    </row>
    <row r="10" spans="1:3">
      <c r="A10" s="49" t="s">
        <v>140</v>
      </c>
      <c r="B10" s="50"/>
      <c r="C10" s="11">
        <f>+B10*ValorHora*'Datos Básicos'!G23</f>
        <v>0</v>
      </c>
    </row>
    <row r="11" spans="1:3">
      <c r="A11" s="49" t="s">
        <v>141</v>
      </c>
      <c r="B11" s="50"/>
      <c r="C11" s="11">
        <f>+B11*ValorHora*'Datos Básicos'!G24</f>
        <v>0</v>
      </c>
    </row>
    <row r="12" spans="1:3">
      <c r="A12" s="51" t="s">
        <v>146</v>
      </c>
      <c r="B12" s="51"/>
      <c r="C12" s="52">
        <f>SUM(C6:C11)</f>
        <v>0</v>
      </c>
    </row>
    <row r="14" spans="1:3" ht="15.75">
      <c r="A14" s="128" t="s">
        <v>176</v>
      </c>
      <c r="B14" s="128"/>
      <c r="C14" s="128"/>
    </row>
    <row r="15" spans="1:3" ht="60.75" customHeight="1">
      <c r="A15" s="53" t="s">
        <v>175</v>
      </c>
      <c r="B15" s="135" t="s">
        <v>147</v>
      </c>
      <c r="C15" s="135"/>
    </row>
    <row r="16" spans="1:3" ht="30">
      <c r="A16" s="54" t="s">
        <v>148</v>
      </c>
      <c r="B16" s="107"/>
      <c r="C16" s="107"/>
    </row>
    <row r="17" spans="1:3" ht="45">
      <c r="A17" s="54" t="s">
        <v>149</v>
      </c>
      <c r="B17" s="108"/>
      <c r="C17" s="108"/>
    </row>
    <row r="18" spans="1:3" ht="30">
      <c r="A18" s="55" t="s">
        <v>150</v>
      </c>
      <c r="B18" s="109">
        <f>IF((ISERROR(ROUND(B16/B17*30,0)))=TRUE,B16,ROUND(B16/B17*30,0))</f>
        <v>0</v>
      </c>
      <c r="C18" s="109"/>
    </row>
    <row r="19" spans="1:3">
      <c r="A19" s="110" t="s">
        <v>151</v>
      </c>
      <c r="B19" s="111"/>
      <c r="C19" s="112"/>
    </row>
    <row r="20" spans="1:3" ht="30">
      <c r="A20" s="54" t="s">
        <v>152</v>
      </c>
      <c r="B20" s="107"/>
      <c r="C20" s="107"/>
    </row>
    <row r="21" spans="1:3" ht="34.5" customHeight="1">
      <c r="A21" s="104" t="s">
        <v>153</v>
      </c>
      <c r="B21" s="105"/>
      <c r="C21" s="106"/>
    </row>
    <row r="22" spans="1:3" ht="30">
      <c r="A22" s="56" t="s">
        <v>154</v>
      </c>
      <c r="B22" s="107"/>
      <c r="C22" s="107"/>
    </row>
    <row r="23" spans="1:3" ht="45">
      <c r="A23" s="56" t="s">
        <v>155</v>
      </c>
      <c r="B23" s="107"/>
      <c r="C23" s="107"/>
    </row>
    <row r="24" spans="1:3" ht="30">
      <c r="A24" s="56" t="s">
        <v>156</v>
      </c>
      <c r="B24" s="107"/>
      <c r="C24" s="107"/>
    </row>
    <row r="25" spans="1:3" ht="30">
      <c r="A25" s="55" t="s">
        <v>157</v>
      </c>
      <c r="B25" s="126">
        <f>IF(SUM(C$10:C$12)&gt;C$4*30%,(C$4*30%)+$D$8,SUM(C$10:C$12))+$D$8</f>
        <v>0</v>
      </c>
      <c r="C25" s="127"/>
    </row>
    <row r="26" spans="1:3">
      <c r="A26" s="110" t="s">
        <v>158</v>
      </c>
      <c r="B26" s="111"/>
      <c r="C26" s="112"/>
    </row>
    <row r="27" spans="1:3" ht="30">
      <c r="A27" s="57" t="s">
        <v>159</v>
      </c>
      <c r="B27" s="107"/>
      <c r="C27" s="107"/>
    </row>
    <row r="28" spans="1:3" ht="30">
      <c r="A28" s="57" t="s">
        <v>160</v>
      </c>
      <c r="B28" s="107"/>
      <c r="C28" s="107"/>
    </row>
    <row r="29" spans="1:3" ht="30">
      <c r="A29" s="57" t="s">
        <v>161</v>
      </c>
      <c r="B29" s="107"/>
      <c r="C29" s="107"/>
    </row>
    <row r="30" spans="1:3" ht="45">
      <c r="A30" s="57" t="s">
        <v>162</v>
      </c>
      <c r="B30" s="107"/>
      <c r="C30" s="107"/>
    </row>
    <row r="31" spans="1:3" ht="30">
      <c r="A31" s="57" t="s">
        <v>163</v>
      </c>
      <c r="B31" s="107"/>
      <c r="C31" s="107"/>
    </row>
    <row r="32" spans="1:3">
      <c r="A32" s="55" t="s">
        <v>164</v>
      </c>
      <c r="B32" s="126">
        <f>B18-B25-SUM(B27:B31)</f>
        <v>0</v>
      </c>
      <c r="C32" s="127"/>
    </row>
    <row r="33" spans="1:3">
      <c r="A33" s="134" t="s">
        <v>165</v>
      </c>
      <c r="B33" s="130">
        <f>IF(ROUND($B$32*25%,0)&gt;ROUND(240*UVT,-3),ROUND(240*UVT,-3),ROUND($B$32*25%,0))</f>
        <v>0</v>
      </c>
      <c r="C33" s="131"/>
    </row>
    <row r="34" spans="1:3">
      <c r="A34" s="134"/>
      <c r="B34" s="132"/>
      <c r="C34" s="133"/>
    </row>
    <row r="35" spans="1:3">
      <c r="A35" s="55" t="s">
        <v>166</v>
      </c>
      <c r="B35" s="126">
        <f>B32-B33</f>
        <v>0</v>
      </c>
      <c r="C35" s="127"/>
    </row>
    <row r="36" spans="1:3" ht="15" customHeight="1">
      <c r="A36" s="117" t="s">
        <v>167</v>
      </c>
      <c r="B36" s="118"/>
      <c r="C36" s="119"/>
    </row>
    <row r="37" spans="1:3">
      <c r="A37" s="120"/>
      <c r="B37" s="121"/>
      <c r="C37" s="122"/>
    </row>
    <row r="38" spans="1:3">
      <c r="A38" s="123"/>
      <c r="B38" s="124"/>
      <c r="C38" s="125"/>
    </row>
    <row r="39" spans="1:3" ht="30">
      <c r="A39" s="58" t="s">
        <v>168</v>
      </c>
      <c r="B39" s="107"/>
      <c r="C39" s="107"/>
    </row>
    <row r="40" spans="1:3" ht="60">
      <c r="A40" s="58" t="s">
        <v>169</v>
      </c>
      <c r="B40" s="107"/>
      <c r="C40" s="107"/>
    </row>
    <row r="41" spans="1:3" ht="45">
      <c r="A41" s="58" t="s">
        <v>170</v>
      </c>
      <c r="B41" s="107"/>
      <c r="C41" s="107"/>
    </row>
    <row r="42" spans="1:3">
      <c r="A42" s="55" t="s">
        <v>171</v>
      </c>
      <c r="B42" s="126">
        <f>IF((B35-SUM(B39:B41))&lt;0,0,(B35-SUM(B39:B41)))</f>
        <v>0</v>
      </c>
      <c r="C42" s="127"/>
    </row>
    <row r="43" spans="1:3">
      <c r="A43" s="59" t="s">
        <v>172</v>
      </c>
      <c r="B43" s="113">
        <f>ROUND(B42/UVT,2)</f>
        <v>0</v>
      </c>
      <c r="C43" s="114"/>
    </row>
    <row r="44" spans="1:3" ht="45">
      <c r="A44" s="60" t="s">
        <v>173</v>
      </c>
      <c r="B44" s="113">
        <f>IF(AND(B43&gt;'Datos Básicos'!A36,B43&lt;='Datos Básicos'!B36),(B43-'Datos Básicos'!A36)*'Datos Básicos'!C36,IF(AND(B43&gt;'Datos Básicos'!B36,B43&lt;='Datos Básicos'!B37),((B43-'Datos Básicos'!B36)*'Datos Básicos'!C37+'Datos Básicos'!D37),IF(B43&gt;'Datos Básicos'!B37,((B43-'Datos Básicos'!B37)*'Datos Básicos'!C38+'Datos Básicos'!D38),0)))</f>
        <v>0</v>
      </c>
      <c r="C44" s="114"/>
    </row>
    <row r="45" spans="1:3" ht="45">
      <c r="A45" s="61" t="s">
        <v>174</v>
      </c>
      <c r="B45" s="115">
        <f>ROUND(B44*'Datos Básicos'!F11,-3)</f>
        <v>0</v>
      </c>
      <c r="C45" s="116"/>
    </row>
  </sheetData>
  <sheetProtection password="8AC8" sheet="1" objects="1" scenarios="1"/>
  <mergeCells count="31">
    <mergeCell ref="A14:C14"/>
    <mergeCell ref="A1:C1"/>
    <mergeCell ref="B33:C34"/>
    <mergeCell ref="B29:C29"/>
    <mergeCell ref="B30:C30"/>
    <mergeCell ref="B31:C31"/>
    <mergeCell ref="B32:C32"/>
    <mergeCell ref="B23:C23"/>
    <mergeCell ref="B24:C24"/>
    <mergeCell ref="B25:C25"/>
    <mergeCell ref="B27:C27"/>
    <mergeCell ref="B28:C28"/>
    <mergeCell ref="A26:C26"/>
    <mergeCell ref="A33:A34"/>
    <mergeCell ref="B22:C22"/>
    <mergeCell ref="B15:C15"/>
    <mergeCell ref="B44:C44"/>
    <mergeCell ref="B45:C45"/>
    <mergeCell ref="A36:C38"/>
    <mergeCell ref="B35:C35"/>
    <mergeCell ref="B39:C39"/>
    <mergeCell ref="B40:C40"/>
    <mergeCell ref="B41:C41"/>
    <mergeCell ref="B42:C42"/>
    <mergeCell ref="B43:C43"/>
    <mergeCell ref="A21:C21"/>
    <mergeCell ref="B16:C16"/>
    <mergeCell ref="B17:C17"/>
    <mergeCell ref="B18:C18"/>
    <mergeCell ref="B20:C20"/>
    <mergeCell ref="A19:C19"/>
  </mergeCells>
  <dataValidations count="4">
    <dataValidation type="whole" operator="greaterThanOrEqual" allowBlank="1" showInputMessage="1" showErrorMessage="1" errorTitle="FUNDACION GEPIC" error="Valores mayores o iguales que la mitad del salario minimo mensual vigente" sqref="B3">
      <formula1>SM/2</formula1>
    </dataValidation>
    <dataValidation type="whole" allowBlank="1" showInputMessage="1" showErrorMessage="1" errorTitle="FUNDACION GEPIC" error="Número entre 1 y 240" sqref="B6:B11">
      <formula1>1</formula1>
      <formula2>240</formula2>
    </dataValidation>
    <dataValidation type="whole" allowBlank="1" showInputMessage="1" showErrorMessage="1" errorTitle="FUNDACION GEPIC" error="Número entero entre 1 y 30" sqref="B17:C17">
      <formula1>1</formula1>
      <formula2>30</formula2>
    </dataValidation>
    <dataValidation type="whole" operator="greaterThan" allowBlank="1" showErrorMessage="1" errorTitle="FUNDACION GEPIC" error="Numero entero mayor que 0" promptTitle="PAGO BASE:" prompt="Pagos gravables diferentes de la cesantía, los intereses sobre cesantía, y la prima mínima legal de servicios." sqref="B27:C31 B22:C24 B20:C20 B16:C16 B39:C41">
      <formula1>0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>
    <pageSetUpPr fitToPage="1"/>
  </sheetPr>
  <dimension ref="A1:R769"/>
  <sheetViews>
    <sheetView tabSelected="1" workbookViewId="0">
      <selection activeCell="A8" sqref="A8"/>
    </sheetView>
  </sheetViews>
  <sheetFormatPr baseColWidth="10" defaultColWidth="0" defaultRowHeight="66.75" customHeight="1" zeroHeight="1"/>
  <cols>
    <col min="1" max="1" width="24.42578125" style="1" customWidth="1"/>
    <col min="2" max="15" width="12.7109375" style="1" customWidth="1"/>
    <col min="16" max="16" width="25.85546875" style="1" customWidth="1"/>
    <col min="17" max="17" width="10.7109375" style="1" customWidth="1"/>
    <col min="18" max="18" width="20.85546875" style="1" customWidth="1"/>
    <col min="19" max="16384" width="1.7109375" style="1" hidden="1"/>
  </cols>
  <sheetData>
    <row r="1" spans="1:16" ht="17.25">
      <c r="A1" s="155"/>
      <c r="B1" s="166" t="s">
        <v>29</v>
      </c>
      <c r="C1" s="166"/>
      <c r="D1" s="167"/>
      <c r="N1" s="174" t="s">
        <v>49</v>
      </c>
      <c r="O1" s="175"/>
      <c r="P1" s="176"/>
    </row>
    <row r="2" spans="1:16" ht="18" customHeight="1">
      <c r="A2" s="156"/>
      <c r="B2" s="168" t="s">
        <v>30</v>
      </c>
      <c r="C2" s="168"/>
      <c r="D2" s="169"/>
      <c r="N2" s="177"/>
      <c r="O2" s="178"/>
      <c r="P2" s="179"/>
    </row>
    <row r="3" spans="1:16" ht="17.25" customHeight="1">
      <c r="A3" s="156"/>
      <c r="B3" s="168"/>
      <c r="C3" s="168"/>
      <c r="D3" s="169"/>
      <c r="N3" s="180"/>
      <c r="O3" s="181"/>
      <c r="P3" s="182"/>
    </row>
    <row r="4" spans="1:16" ht="18.75" customHeight="1" thickBot="1">
      <c r="A4" s="157"/>
      <c r="B4" s="170" t="s">
        <v>50</v>
      </c>
      <c r="C4" s="170"/>
      <c r="D4" s="171"/>
      <c r="N4" s="183"/>
      <c r="O4" s="184"/>
      <c r="P4" s="185"/>
    </row>
    <row r="5" spans="1:16" ht="15.75" thickBot="1">
      <c r="B5" s="74">
        <f>ROW(A9)</f>
        <v>9</v>
      </c>
      <c r="C5" s="74">
        <f>ROW(A7)</f>
        <v>7</v>
      </c>
      <c r="D5" s="74">
        <f>+B5-C5</f>
        <v>2</v>
      </c>
      <c r="E5" s="74">
        <f>ROW(K16)</f>
        <v>16</v>
      </c>
      <c r="F5" s="74">
        <f>ROW(K21)</f>
        <v>21</v>
      </c>
      <c r="G5" s="74">
        <f>ROW(B15)</f>
        <v>15</v>
      </c>
      <c r="H5" s="74">
        <f>ROW(B17)</f>
        <v>17</v>
      </c>
      <c r="I5" s="74">
        <f>ROW(A19)</f>
        <v>19</v>
      </c>
      <c r="J5" s="74">
        <f>+I5+3</f>
        <v>22</v>
      </c>
      <c r="K5" s="74">
        <f>ROW(A26)</f>
        <v>26</v>
      </c>
      <c r="L5" s="74">
        <f>K5+1</f>
        <v>27</v>
      </c>
    </row>
    <row r="6" spans="1:16" ht="15" customHeight="1">
      <c r="A6" s="28"/>
      <c r="B6" s="158" t="s">
        <v>31</v>
      </c>
      <c r="C6" s="158" t="s">
        <v>32</v>
      </c>
      <c r="D6" s="190" t="s">
        <v>33</v>
      </c>
      <c r="E6" s="191"/>
      <c r="F6" s="191"/>
      <c r="G6" s="192"/>
      <c r="H6" s="186" t="s">
        <v>34</v>
      </c>
      <c r="I6" s="190" t="s">
        <v>35</v>
      </c>
      <c r="J6" s="191"/>
      <c r="K6" s="191"/>
      <c r="L6" s="191"/>
      <c r="M6" s="192"/>
      <c r="N6" s="186" t="s">
        <v>36</v>
      </c>
      <c r="O6" s="186" t="s">
        <v>37</v>
      </c>
      <c r="P6" s="188" t="s">
        <v>38</v>
      </c>
    </row>
    <row r="7" spans="1:16" ht="27">
      <c r="A7" s="29" t="s">
        <v>28</v>
      </c>
      <c r="B7" s="159"/>
      <c r="C7" s="159"/>
      <c r="D7" s="16" t="s">
        <v>39</v>
      </c>
      <c r="E7" s="41" t="s">
        <v>40</v>
      </c>
      <c r="F7" s="41" t="s">
        <v>41</v>
      </c>
      <c r="G7" s="41" t="s">
        <v>42</v>
      </c>
      <c r="H7" s="187"/>
      <c r="I7" s="16" t="s">
        <v>43</v>
      </c>
      <c r="J7" s="41" t="s">
        <v>44</v>
      </c>
      <c r="K7" s="41" t="s">
        <v>45</v>
      </c>
      <c r="L7" s="41" t="s">
        <v>46</v>
      </c>
      <c r="M7" s="41" t="s">
        <v>47</v>
      </c>
      <c r="N7" s="187"/>
      <c r="O7" s="187"/>
      <c r="P7" s="189"/>
    </row>
    <row r="8" spans="1:16" s="75" customFormat="1" ht="15">
      <c r="A8" s="76"/>
      <c r="B8" s="77"/>
      <c r="C8" s="78"/>
      <c r="D8" s="26">
        <f>B8*C8/30</f>
        <v>0</v>
      </c>
      <c r="E8" s="26">
        <f>IF(B8&gt;0,IF(G8&gt;0,0,IF(B8&lt;=2*SM,AT*Nomina!C8/30,0)),0)</f>
        <v>0</v>
      </c>
      <c r="F8" s="79"/>
      <c r="G8" s="79"/>
      <c r="H8" s="26">
        <f>+D8+E8+F8+G8</f>
        <v>0</v>
      </c>
      <c r="I8" s="26">
        <f>+(H8-E8)*SaludEmpleado</f>
        <v>0</v>
      </c>
      <c r="J8" s="26">
        <f>+(H8-E8)*PensionEmpleado</f>
        <v>0</v>
      </c>
      <c r="K8" s="26">
        <f>IF(AND(B8&gt;='Datos Básicos'!$C$26,B8&lt;='Datos Básicos'!$D$26),B8*FonSol1*Nomina!C8/30,0)+IF(AND(B8&gt;='Datos Básicos'!$C$27,B8&lt;='Datos Básicos'!$D$27),B8*FonSol2*Nomina!C8/30,0)+IF(AND(B8&gt;='Datos Básicos'!$C$28,B8&lt;='Datos Básicos'!$D$28),B8*FonSol3*Nomina!C8/30,0)+IF(AND(B8&gt;='Datos Básicos'!$C$29,B8&lt;='Datos Básicos'!$D$29),B8*FonSol4*Nomina!C8/30,0)+IF(AND(B8&gt;='Datos Básicos'!$C$30,B8&lt;='Datos Básicos'!$D$30),B8*FonSol5*Nomina!C8/30,0)+IF(AND(B8&gt;='Datos Básicos'!$C$31),B8*FonSol6*Nomina!C8/30,0)</f>
        <v>0</v>
      </c>
      <c r="L8" s="79"/>
      <c r="M8" s="79"/>
      <c r="N8" s="26">
        <f>+I8+J8+K8+L8+M8</f>
        <v>0</v>
      </c>
      <c r="O8" s="26">
        <f>+H8-N8</f>
        <v>0</v>
      </c>
      <c r="P8" s="21"/>
    </row>
    <row r="9" spans="1:16" s="75" customFormat="1" ht="15" hidden="1">
      <c r="A9" s="22"/>
      <c r="B9" s="23"/>
      <c r="C9" s="24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5"/>
    </row>
    <row r="10" spans="1:16" ht="15.75" thickBot="1">
      <c r="A10" s="17" t="s">
        <v>48</v>
      </c>
      <c r="B10" s="18">
        <f>SUM(B8:B9)</f>
        <v>0</v>
      </c>
      <c r="C10" s="19"/>
      <c r="D10" s="18">
        <f>SUM(D8:D9)</f>
        <v>0</v>
      </c>
      <c r="E10" s="18">
        <f>SUM(E8:E9)</f>
        <v>0</v>
      </c>
      <c r="F10" s="18">
        <f>SUM(F8:F9)</f>
        <v>0</v>
      </c>
      <c r="G10" s="18">
        <f>SUM(G8:G9)</f>
        <v>0</v>
      </c>
      <c r="H10" s="18">
        <f>SUM(H8:H9)</f>
        <v>0</v>
      </c>
      <c r="I10" s="18">
        <f>SUM(I8:I9)</f>
        <v>0</v>
      </c>
      <c r="J10" s="18">
        <f>SUM(J8:J9)</f>
        <v>0</v>
      </c>
      <c r="K10" s="18">
        <f>SUM(K8:K9)</f>
        <v>0</v>
      </c>
      <c r="L10" s="18">
        <f>SUM(L8:L9)</f>
        <v>0</v>
      </c>
      <c r="M10" s="18">
        <f>SUM(M8:M9)</f>
        <v>0</v>
      </c>
      <c r="N10" s="18">
        <f>SUM(N8:N9)</f>
        <v>0</v>
      </c>
      <c r="O10" s="18">
        <f>SUM(O8:O9)</f>
        <v>0</v>
      </c>
      <c r="P10" s="20"/>
    </row>
    <row r="11" spans="1:16" ht="15.75" thickBot="1"/>
    <row r="12" spans="1:16" ht="15" customHeight="1">
      <c r="A12" s="147" t="str">
        <f>IF(O10=0," ",$O$10)</f>
        <v xml:space="preserve"> </v>
      </c>
      <c r="B12" s="148"/>
      <c r="C12" s="30"/>
      <c r="D12" s="151" t="s">
        <v>51</v>
      </c>
      <c r="E12" s="160" t="str">
        <f>IF(O10=0," ",C34)</f>
        <v xml:space="preserve"> </v>
      </c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1"/>
    </row>
    <row r="13" spans="1:16" ht="15.75" customHeight="1" thickBot="1">
      <c r="A13" s="149"/>
      <c r="B13" s="150"/>
      <c r="C13" s="30"/>
      <c r="D13" s="15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3"/>
    </row>
    <row r="14" spans="1:16" ht="15.75" thickBot="1"/>
    <row r="15" spans="1:16" ht="17.25" thickBot="1">
      <c r="A15" s="31" t="s">
        <v>53</v>
      </c>
      <c r="B15" s="153"/>
      <c r="C15" s="153"/>
      <c r="D15" s="153"/>
      <c r="E15" s="153"/>
      <c r="F15" s="153"/>
      <c r="G15" s="154"/>
      <c r="H15" s="32"/>
      <c r="I15" s="164" t="s">
        <v>54</v>
      </c>
      <c r="J15" s="165"/>
      <c r="K15" s="33" t="s">
        <v>55</v>
      </c>
      <c r="L15" s="164" t="s">
        <v>56</v>
      </c>
      <c r="M15" s="165"/>
      <c r="N15" s="33" t="s">
        <v>55</v>
      </c>
    </row>
    <row r="16" spans="1:16" ht="15.75" thickBot="1">
      <c r="A16" s="32"/>
      <c r="B16" s="32"/>
      <c r="C16" s="32"/>
      <c r="D16" s="32"/>
      <c r="E16" s="32"/>
      <c r="F16" s="32"/>
      <c r="G16" s="32"/>
      <c r="H16" s="32"/>
      <c r="I16" s="198" t="s">
        <v>57</v>
      </c>
      <c r="J16" s="199"/>
      <c r="K16" s="34">
        <f>+($H$10-$E$10)*SaludEmpresa</f>
        <v>0</v>
      </c>
      <c r="L16" s="44" t="s">
        <v>58</v>
      </c>
      <c r="M16" s="45"/>
      <c r="N16" s="35">
        <f>+($H$10)*Cesantia</f>
        <v>0</v>
      </c>
    </row>
    <row r="17" spans="1:16" ht="17.25" thickBot="1">
      <c r="A17" s="31" t="s">
        <v>59</v>
      </c>
      <c r="B17" s="153"/>
      <c r="C17" s="153"/>
      <c r="D17" s="153"/>
      <c r="E17" s="153"/>
      <c r="F17" s="153"/>
      <c r="G17" s="154"/>
      <c r="H17" s="32"/>
      <c r="I17" s="198" t="s">
        <v>60</v>
      </c>
      <c r="J17" s="199"/>
      <c r="K17" s="34">
        <f>+($H$10-$E$10)*ARP</f>
        <v>0</v>
      </c>
      <c r="L17" s="44" t="s">
        <v>61</v>
      </c>
      <c r="M17" s="45"/>
      <c r="N17" s="35">
        <f>+N16*IntCesantia*12</f>
        <v>0</v>
      </c>
    </row>
    <row r="18" spans="1:16" ht="15.75" thickBot="1">
      <c r="A18" s="32"/>
      <c r="B18" s="32"/>
      <c r="C18" s="32"/>
      <c r="D18" s="32"/>
      <c r="E18" s="32"/>
      <c r="F18" s="32"/>
      <c r="G18" s="32"/>
      <c r="H18" s="32"/>
      <c r="I18" s="198" t="s">
        <v>62</v>
      </c>
      <c r="J18" s="199"/>
      <c r="K18" s="34">
        <f>+($H$10-$E$10)*PensionEmpresa</f>
        <v>0</v>
      </c>
      <c r="L18" s="44" t="s">
        <v>63</v>
      </c>
      <c r="M18" s="45"/>
      <c r="N18" s="35">
        <f>+H10*Prima</f>
        <v>0</v>
      </c>
    </row>
    <row r="19" spans="1:16" ht="15">
      <c r="A19" s="200"/>
      <c r="B19" s="201"/>
      <c r="C19" s="201"/>
      <c r="D19" s="201"/>
      <c r="E19" s="201"/>
      <c r="F19" s="201"/>
      <c r="G19" s="202"/>
      <c r="H19" s="32"/>
      <c r="I19" s="198" t="s">
        <v>64</v>
      </c>
      <c r="J19" s="199"/>
      <c r="K19" s="34">
        <f>+($H$10-$E$10)*ICBF</f>
        <v>0</v>
      </c>
      <c r="L19" s="44" t="s">
        <v>65</v>
      </c>
      <c r="M19" s="45"/>
      <c r="N19" s="35">
        <f>+($H$10-$E$10)*Vacaciones</f>
        <v>0</v>
      </c>
    </row>
    <row r="20" spans="1:16" ht="15">
      <c r="A20" s="203"/>
      <c r="B20" s="204"/>
      <c r="C20" s="204"/>
      <c r="D20" s="204"/>
      <c r="E20" s="204"/>
      <c r="F20" s="204"/>
      <c r="G20" s="205"/>
      <c r="H20" s="32" t="s">
        <v>52</v>
      </c>
      <c r="I20" s="198" t="s">
        <v>66</v>
      </c>
      <c r="J20" s="199"/>
      <c r="K20" s="34">
        <f>+($H$10-$E$10)*SENA</f>
        <v>0</v>
      </c>
      <c r="L20" s="44" t="s">
        <v>67</v>
      </c>
      <c r="M20" s="45"/>
      <c r="N20" s="35">
        <f>+($H$10-$E$10)*ESAP</f>
        <v>0</v>
      </c>
    </row>
    <row r="21" spans="1:16" ht="15">
      <c r="A21" s="203"/>
      <c r="B21" s="204"/>
      <c r="C21" s="204"/>
      <c r="D21" s="204"/>
      <c r="E21" s="204"/>
      <c r="F21" s="204"/>
      <c r="G21" s="205"/>
      <c r="H21" s="32"/>
      <c r="I21" s="198" t="s">
        <v>68</v>
      </c>
      <c r="J21" s="199"/>
      <c r="K21" s="34">
        <f>+($H$10-$E$10)*CAJA</f>
        <v>0</v>
      </c>
      <c r="L21" s="44" t="s">
        <v>69</v>
      </c>
      <c r="M21" s="45"/>
      <c r="N21" s="35">
        <f>+($H$10-$E$10)*IND</f>
        <v>0</v>
      </c>
    </row>
    <row r="22" spans="1:16" ht="15.75" thickBot="1">
      <c r="A22" s="206"/>
      <c r="B22" s="207"/>
      <c r="C22" s="207"/>
      <c r="D22" s="207"/>
      <c r="E22" s="207"/>
      <c r="F22" s="207"/>
      <c r="G22" s="208"/>
      <c r="H22" s="32"/>
      <c r="I22" s="164" t="s">
        <v>70</v>
      </c>
      <c r="J22" s="165"/>
      <c r="K22" s="36">
        <f>SUM(K16:K21)</f>
        <v>0</v>
      </c>
      <c r="L22" s="42" t="s">
        <v>70</v>
      </c>
      <c r="M22" s="43"/>
      <c r="N22" s="37">
        <f>SUM(N16:N21)</f>
        <v>0</v>
      </c>
    </row>
    <row r="23" spans="1:16" ht="15.75" thickBot="1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</row>
    <row r="24" spans="1:16" ht="17.25" thickBot="1">
      <c r="A24" s="38" t="s">
        <v>71</v>
      </c>
      <c r="B24" s="196" t="s">
        <v>72</v>
      </c>
      <c r="C24" s="196"/>
      <c r="D24" s="196"/>
      <c r="E24" s="196"/>
      <c r="F24" s="196" t="s">
        <v>73</v>
      </c>
      <c r="G24" s="197"/>
      <c r="H24" s="32"/>
      <c r="I24" s="193" t="str">
        <f>IF(K22+N22=0," ",$K$22+$N$22)</f>
        <v xml:space="preserve"> </v>
      </c>
      <c r="J24" s="194"/>
      <c r="K24" s="194"/>
      <c r="L24" s="194"/>
      <c r="M24" s="194"/>
      <c r="N24" s="195"/>
    </row>
    <row r="25" spans="1:16" ht="16.5">
      <c r="A25" s="81"/>
      <c r="B25" s="145"/>
      <c r="C25" s="172"/>
      <c r="D25" s="172"/>
      <c r="E25" s="173"/>
      <c r="F25" s="145"/>
      <c r="G25" s="146"/>
      <c r="H25" s="32"/>
      <c r="I25" s="39"/>
      <c r="J25" s="39"/>
      <c r="K25" s="39"/>
      <c r="L25" s="39"/>
      <c r="M25" s="39"/>
      <c r="N25" s="39"/>
    </row>
    <row r="26" spans="1:16" ht="16.5">
      <c r="A26" s="82"/>
      <c r="B26" s="138"/>
      <c r="C26" s="138"/>
      <c r="D26" s="138"/>
      <c r="E26" s="138"/>
      <c r="F26" s="138"/>
      <c r="G26" s="139"/>
      <c r="H26" s="32"/>
      <c r="I26" s="39"/>
      <c r="J26" s="39"/>
      <c r="K26" s="39"/>
      <c r="L26" s="39"/>
      <c r="M26" s="39"/>
      <c r="N26" s="39"/>
    </row>
    <row r="27" spans="1:16" ht="15.75" thickBot="1">
      <c r="A27" s="80"/>
      <c r="B27" s="142"/>
      <c r="C27" s="142"/>
      <c r="D27" s="142"/>
      <c r="E27" s="142"/>
      <c r="F27" s="142"/>
      <c r="G27" s="143"/>
      <c r="H27" s="32"/>
      <c r="I27" s="32"/>
      <c r="J27" s="32"/>
      <c r="K27" s="32"/>
      <c r="L27" s="32"/>
      <c r="M27" s="32"/>
      <c r="N27" s="32"/>
      <c r="O27" s="32"/>
      <c r="P27" s="32"/>
    </row>
    <row r="28" spans="1:16" ht="9.9499999999999993" customHeight="1"/>
    <row r="29" spans="1:16" ht="9.9499999999999993" customHeight="1"/>
    <row r="30" spans="1:16" ht="9.9499999999999993" customHeight="1"/>
    <row r="31" spans="1:16" ht="9.9499999999999993" customHeight="1"/>
    <row r="32" spans="1:16" ht="9.9499999999999993" customHeight="1">
      <c r="A32" s="140" t="s">
        <v>77</v>
      </c>
      <c r="B32" s="140"/>
      <c r="C32" s="144">
        <f>+Nomina!$O$10</f>
        <v>0</v>
      </c>
      <c r="D32" s="144"/>
      <c r="E32" s="86" t="s">
        <v>78</v>
      </c>
      <c r="F32" s="83"/>
      <c r="G32" s="83"/>
      <c r="H32" s="83"/>
      <c r="I32" s="83"/>
      <c r="J32" s="83"/>
      <c r="K32" s="83"/>
    </row>
    <row r="33" spans="1:11" ht="9.9499999999999993" customHeight="1">
      <c r="A33" s="87"/>
      <c r="B33" s="87"/>
      <c r="C33" s="88"/>
      <c r="D33" s="88"/>
      <c r="E33" s="83"/>
      <c r="F33" s="83"/>
      <c r="G33" s="83"/>
      <c r="H33" s="83"/>
      <c r="I33" s="83"/>
      <c r="J33" s="83"/>
      <c r="K33" s="83"/>
    </row>
    <row r="34" spans="1:11" ht="9.9499999999999993" customHeight="1">
      <c r="A34" s="140" t="s">
        <v>79</v>
      </c>
      <c r="B34" s="140"/>
      <c r="C34" s="136" t="str">
        <f>TRIM(D56)</f>
        <v>de Pesos M/Cte</v>
      </c>
      <c r="D34" s="136"/>
      <c r="E34" s="136"/>
      <c r="F34" s="136"/>
      <c r="G34" s="136"/>
      <c r="H34" s="136"/>
      <c r="I34" s="136"/>
      <c r="J34" s="136"/>
      <c r="K34" s="83"/>
    </row>
    <row r="35" spans="1:11" ht="9.9499999999999993" customHeight="1">
      <c r="A35" s="83"/>
      <c r="B35" s="89"/>
      <c r="C35" s="136"/>
      <c r="D35" s="136"/>
      <c r="E35" s="136"/>
      <c r="F35" s="136"/>
      <c r="G35" s="136"/>
      <c r="H35" s="136"/>
      <c r="I35" s="136"/>
      <c r="J35" s="136"/>
      <c r="K35" s="83"/>
    </row>
    <row r="36" spans="1:11" ht="9.9499999999999993" customHeight="1">
      <c r="A36" s="83"/>
      <c r="B36" s="83"/>
      <c r="C36" s="83"/>
      <c r="D36" s="83"/>
      <c r="E36" s="83"/>
      <c r="F36" s="83"/>
      <c r="G36" s="83"/>
      <c r="H36" s="83"/>
      <c r="I36" s="83"/>
      <c r="J36" s="83"/>
      <c r="K36" s="83"/>
    </row>
    <row r="37" spans="1:11" ht="9.9499999999999993" customHeight="1">
      <c r="A37" s="90">
        <v>1</v>
      </c>
      <c r="B37" s="91" t="s">
        <v>80</v>
      </c>
      <c r="C37" s="91" t="s">
        <v>81</v>
      </c>
      <c r="D37" s="83"/>
      <c r="E37" s="92">
        <f>INT((C32-(INT(C32/1000000000000000)*1000000000000000))/1000000000000)</f>
        <v>0</v>
      </c>
      <c r="F37" s="87" t="s">
        <v>82</v>
      </c>
      <c r="G37" s="85">
        <f>INT(E37/100)*100</f>
        <v>0</v>
      </c>
      <c r="H37" s="87" t="str">
        <f>IF(AND(G37=100,G38=0,G39=0),IF(G37=0," ",LOOKUP(G37,A36:C81,B36:B81)),IF(G37=0," ",LOOKUP(G37,A36:C81,C36:C81)))</f>
        <v xml:space="preserve"> </v>
      </c>
      <c r="I37" s="83"/>
      <c r="J37" s="141" t="s">
        <v>83</v>
      </c>
      <c r="K37" s="83"/>
    </row>
    <row r="38" spans="1:11" ht="9.9499999999999993" customHeight="1">
      <c r="A38" s="90">
        <v>2</v>
      </c>
      <c r="B38" s="91" t="s">
        <v>84</v>
      </c>
      <c r="C38" s="91" t="s">
        <v>84</v>
      </c>
      <c r="D38" s="83"/>
      <c r="E38" s="92">
        <f>+E37-G37</f>
        <v>0</v>
      </c>
      <c r="F38" s="87" t="s">
        <v>85</v>
      </c>
      <c r="G38" s="85">
        <f>INT(E38/10)*10</f>
        <v>0</v>
      </c>
      <c r="H38" s="87" t="str">
        <f>IF(OR(G38=10,G38=20),LOOKUP(E38,A36:C81,C36:C81),IF(AND(G38=100,G39=0,G40=0),IF(G38=0," ",LOOKUP(G38,A36:C81,B36:B81)),IF(G38=0," ",LOOKUP(G38,A36:C81,C36:C81))))</f>
        <v xml:space="preserve"> </v>
      </c>
      <c r="I38" s="87" t="str">
        <f>IF(G39=0," ",IF(AND(G38&gt;20,G38&lt;=90),"y"," "))</f>
        <v xml:space="preserve"> </v>
      </c>
      <c r="J38" s="141"/>
      <c r="K38" s="83"/>
    </row>
    <row r="39" spans="1:11" ht="9.9499999999999993" customHeight="1">
      <c r="A39" s="90">
        <v>3</v>
      </c>
      <c r="B39" s="91" t="s">
        <v>86</v>
      </c>
      <c r="C39" s="91" t="s">
        <v>86</v>
      </c>
      <c r="D39" s="83"/>
      <c r="E39" s="92">
        <f>+E38-G38</f>
        <v>0</v>
      </c>
      <c r="F39" s="87" t="s">
        <v>87</v>
      </c>
      <c r="G39" s="92">
        <f>INT(E39)</f>
        <v>0</v>
      </c>
      <c r="H39" s="87" t="str">
        <f>IF(OR(G38=10,G38=20)," ",IF(AND(G39=100,G40=0,G41=0),IF(G39=0," ",LOOKUP(G39,A36:C81,B36:B81)),IF(G39=0," ",LOOKUP(G39,A36:C81,B36:B81))))</f>
        <v xml:space="preserve"> </v>
      </c>
      <c r="I39" s="87" t="str">
        <f>IF(AND(G37=0,G38=0,G39=1),"Billón",IF(SUM(G37:G39)=0," ","Billones"))</f>
        <v xml:space="preserve"> </v>
      </c>
      <c r="J39" s="141"/>
      <c r="K39" s="83"/>
    </row>
    <row r="40" spans="1:11" ht="9.9499999999999993" customHeight="1">
      <c r="A40" s="90">
        <v>4</v>
      </c>
      <c r="B40" s="91" t="s">
        <v>88</v>
      </c>
      <c r="C40" s="91" t="s">
        <v>88</v>
      </c>
      <c r="D40" s="83"/>
      <c r="E40" s="92">
        <f>INT((C32-(INT(C32/1000000000000)*1000000000000))/1000000000)</f>
        <v>0</v>
      </c>
      <c r="F40" s="87" t="s">
        <v>82</v>
      </c>
      <c r="G40" s="85">
        <f>INT(E40/100)*100</f>
        <v>0</v>
      </c>
      <c r="H40" s="87" t="str">
        <f>IF(AND(G40=100,G41=0,G42=0),IF(G40=0," ",LOOKUP(G40,A36:C81,B36:B81)),IF(G40=0," ",LOOKUP(G40,A36:C81,C36:C81)))</f>
        <v xml:space="preserve"> </v>
      </c>
      <c r="I40" s="83"/>
      <c r="J40" s="136" t="s">
        <v>89</v>
      </c>
      <c r="K40" s="83"/>
    </row>
    <row r="41" spans="1:11" ht="9.9499999999999993" customHeight="1">
      <c r="A41" s="90">
        <v>5</v>
      </c>
      <c r="B41" s="91" t="s">
        <v>90</v>
      </c>
      <c r="C41" s="91" t="s">
        <v>90</v>
      </c>
      <c r="D41" s="83"/>
      <c r="E41" s="92">
        <f>+E40-G40</f>
        <v>0</v>
      </c>
      <c r="F41" s="87" t="s">
        <v>85</v>
      </c>
      <c r="G41" s="85">
        <f>INT(E41/10)*10</f>
        <v>0</v>
      </c>
      <c r="H41" s="87" t="str">
        <f>IF(OR(G41=10,G41=20),LOOKUP(E41,A36:C81,C36:C81),IF(AND(G41=100,G42=0,G43=0),IF(G41=0," ",LOOKUP(G41,A36:C81,B36:B81)),IF(G41=0," ",LOOKUP(G41,A36:C81,C36:C81))))</f>
        <v xml:space="preserve"> </v>
      </c>
      <c r="I41" s="87" t="str">
        <f>IF(G42=0," ",IF(AND(G41&gt;20,G41&lt;=90),"y"," "))</f>
        <v xml:space="preserve"> </v>
      </c>
      <c r="J41" s="136"/>
      <c r="K41" s="83"/>
    </row>
    <row r="42" spans="1:11" ht="9.9499999999999993" customHeight="1">
      <c r="A42" s="90">
        <v>6</v>
      </c>
      <c r="B42" s="91" t="s">
        <v>91</v>
      </c>
      <c r="C42" s="91" t="s">
        <v>91</v>
      </c>
      <c r="D42" s="83"/>
      <c r="E42" s="92">
        <f>+E41-G41</f>
        <v>0</v>
      </c>
      <c r="F42" s="87" t="s">
        <v>87</v>
      </c>
      <c r="G42" s="92">
        <f>INT(E42)</f>
        <v>0</v>
      </c>
      <c r="H42" s="87" t="str">
        <f>IF(AND(G40=0,G41=0,G42=1)," ",IF(AND(G37=0,G38=0,G39=0,G40=0,G41=0,G42=1)," ",IF(OR(G41=10,G41=20)," ",IF(AND(G42=100,G43=0,G44=0),IF(G42=0," ",LOOKUP(G42,A36:C81,B36:B81)),IF(G42=0," ",LOOKUP(G42,A36:C81,B36:B81))))))</f>
        <v xml:space="preserve"> </v>
      </c>
      <c r="I42" s="87" t="str">
        <f>IF(AND(G40=0,G41=0,G42=1),"Mil",IF(SUM(G40:G42)=0," ","Mil"))</f>
        <v xml:space="preserve"> </v>
      </c>
      <c r="J42" s="136"/>
      <c r="K42" s="83"/>
    </row>
    <row r="43" spans="1:11" ht="9.9499999999999993" customHeight="1">
      <c r="A43" s="90">
        <v>7</v>
      </c>
      <c r="B43" s="91" t="s">
        <v>92</v>
      </c>
      <c r="C43" s="91" t="s">
        <v>92</v>
      </c>
      <c r="D43" s="83"/>
      <c r="E43" s="92">
        <f>INT((C32-(INT(C32/1000000000)*1000000000))/1000000)</f>
        <v>0</v>
      </c>
      <c r="F43" s="87" t="s">
        <v>82</v>
      </c>
      <c r="G43" s="85">
        <f>INT(E43/100)*100</f>
        <v>0</v>
      </c>
      <c r="H43" s="87" t="str">
        <f>IF(AND(G43=100,G44=0,G45=0),IF(G43=0," ",LOOKUP(G43,A36:C81,B36:B81)),IF(G43=0," ",LOOKUP(G43,A36:C81,C36:C81)))</f>
        <v xml:space="preserve"> </v>
      </c>
      <c r="I43" s="83"/>
      <c r="J43" s="136" t="s">
        <v>93</v>
      </c>
      <c r="K43" s="83"/>
    </row>
    <row r="44" spans="1:11" ht="9.9499999999999993" customHeight="1">
      <c r="A44" s="90">
        <v>8</v>
      </c>
      <c r="B44" s="91" t="s">
        <v>94</v>
      </c>
      <c r="C44" s="91" t="s">
        <v>94</v>
      </c>
      <c r="D44" s="83"/>
      <c r="E44" s="92">
        <f>+E43-G43</f>
        <v>0</v>
      </c>
      <c r="F44" s="87" t="s">
        <v>85</v>
      </c>
      <c r="G44" s="85">
        <f>INT(E44/10)*10</f>
        <v>0</v>
      </c>
      <c r="H44" s="87" t="str">
        <f>IF(OR(G44=10,G44=20),LOOKUP(E44,A36:C81,C36:C81),IF(AND(G44=100,G45=0,G49=0),IF(G44=0," ",LOOKUP(G44,A36:C81,B36:B81)),IF(G44=0," ",LOOKUP(G44,A36:C81,C36:C81))))</f>
        <v xml:space="preserve"> </v>
      </c>
      <c r="I44" s="87" t="str">
        <f>IF(G45=0," ",IF(AND(G44&gt;20,G44&lt;=90),"y"," "))</f>
        <v xml:space="preserve"> </v>
      </c>
      <c r="J44" s="136"/>
      <c r="K44" s="83"/>
    </row>
    <row r="45" spans="1:11" ht="9.9499999999999993" customHeight="1">
      <c r="A45" s="90">
        <v>9</v>
      </c>
      <c r="B45" s="91" t="s">
        <v>95</v>
      </c>
      <c r="C45" s="91" t="s">
        <v>95</v>
      </c>
      <c r="D45" s="83"/>
      <c r="E45" s="92">
        <f>+E44-G44</f>
        <v>0</v>
      </c>
      <c r="F45" s="87" t="s">
        <v>87</v>
      </c>
      <c r="G45" s="92">
        <f>INT(E45)</f>
        <v>0</v>
      </c>
      <c r="H45" s="87" t="str">
        <f>IF(AND(G43=0,G44=0,G45=1),"Un",IF(AND(G40=0,G41=0,G42=0,G43=0,G44=0,G45=1)," ",IF(OR(G44=10,G44=20)," ",IF(AND(G45=100,G49=0,G56=0),IF(G45=0," ",LOOKUP(G45,A36:C81,B36:B81)),IF(G45=0," ",LOOKUP(G45,A36:C81,B36:B81))))))</f>
        <v xml:space="preserve"> </v>
      </c>
      <c r="I45" s="87" t="str">
        <f>IF(AND(OR(G40&gt;0,G41&gt;0,G42&gt;0),G43=0,G44=0,G45=0),"Millones",IF(AND(G40=0,G41=0,G42=0,G43=0,G44=0,G45=1),"Millón",IF(SUM(G43:G45)=0," ","Millones")))</f>
        <v xml:space="preserve"> </v>
      </c>
      <c r="J45" s="136"/>
      <c r="K45" s="83"/>
    </row>
    <row r="46" spans="1:11" ht="9.9499999999999993" customHeight="1">
      <c r="A46" s="90">
        <v>10</v>
      </c>
      <c r="B46" s="91" t="s">
        <v>96</v>
      </c>
      <c r="C46" s="91" t="s">
        <v>96</v>
      </c>
      <c r="D46" s="83"/>
      <c r="E46" s="92">
        <f>INT((C32-(INT(C32/1000000)*1000000))/1000)</f>
        <v>0</v>
      </c>
      <c r="F46" s="87" t="s">
        <v>82</v>
      </c>
      <c r="G46" s="85">
        <f>INT(E46/100)*100</f>
        <v>0</v>
      </c>
      <c r="H46" s="87" t="str">
        <f>IF(AND(G46=100,G47=0,G48=0),IF(G46=0," ",LOOKUP(G46,A36:C81,B36:B81)),IF(G46=0," ",LOOKUP(G46,A36:C81,C36:C81)))</f>
        <v xml:space="preserve"> </v>
      </c>
      <c r="I46" s="83"/>
      <c r="J46" s="136" t="s">
        <v>97</v>
      </c>
      <c r="K46" s="83"/>
    </row>
    <row r="47" spans="1:11" ht="9.9499999999999993" customHeight="1">
      <c r="A47" s="90">
        <v>11</v>
      </c>
      <c r="B47" s="91" t="s">
        <v>98</v>
      </c>
      <c r="C47" s="91" t="s">
        <v>98</v>
      </c>
      <c r="D47" s="83"/>
      <c r="E47" s="92">
        <f>+E46-G46</f>
        <v>0</v>
      </c>
      <c r="F47" s="87" t="s">
        <v>85</v>
      </c>
      <c r="G47" s="85">
        <f>INT(E47/10)*10</f>
        <v>0</v>
      </c>
      <c r="H47" s="87" t="str">
        <f>IF(OR(G47=10,G47=20),LOOKUP(E47,A36:C81,C36:C81),IF(AND(G47=100,G48=0,F54=0),IF(G47=0," ",LOOKUP(G47,A36:C81,B36:B81)),IF(G47=0," ",LOOKUP(G47,A36:C81,C36:C81))))</f>
        <v xml:space="preserve"> </v>
      </c>
      <c r="I47" s="87" t="str">
        <f>IF(G48=0," ",IF(AND(G47&gt;20,G47&lt;=90),"y"," "))</f>
        <v xml:space="preserve"> </v>
      </c>
      <c r="J47" s="136"/>
      <c r="K47" s="83"/>
    </row>
    <row r="48" spans="1:11" ht="9.9499999999999993" customHeight="1">
      <c r="A48" s="90">
        <v>12</v>
      </c>
      <c r="B48" s="91" t="s">
        <v>99</v>
      </c>
      <c r="C48" s="91" t="s">
        <v>99</v>
      </c>
      <c r="D48" s="83"/>
      <c r="E48" s="92">
        <f>+E47-G47</f>
        <v>0</v>
      </c>
      <c r="F48" s="87" t="s">
        <v>87</v>
      </c>
      <c r="G48" s="92">
        <f>INT(E48)</f>
        <v>0</v>
      </c>
      <c r="H48" s="87" t="str">
        <f>IF(AND(G46=0,G47=0,G48=1)," ",IF(AND(G43=0,G44=0,G45=0,G46=0,G47=0,G48=1)," ",IF(OR(G47=10,G47=20)," ",IF(AND(G48=100,F54=0,F55=0),IF(G48=0," ",LOOKUP(G48,A36:C81,B36:B81)),IF(G48=0," ",LOOKUP(G48,A36:C81,B36:B81))))))</f>
        <v xml:space="preserve"> </v>
      </c>
      <c r="I48" s="87" t="str">
        <f>IF(AND(G46=0,G47=0,G48=1),"Mil",IF(SUM(G46:G48)=0," ","Mil"))</f>
        <v xml:space="preserve"> </v>
      </c>
      <c r="J48" s="136"/>
      <c r="K48" s="83"/>
    </row>
    <row r="49" spans="1:11" ht="9.9499999999999993" customHeight="1">
      <c r="A49" s="90">
        <v>13</v>
      </c>
      <c r="B49" s="91" t="s">
        <v>100</v>
      </c>
      <c r="C49" s="91" t="s">
        <v>100</v>
      </c>
      <c r="D49" s="83"/>
      <c r="E49" s="92">
        <f>INT((C32-(INT(C32/1000)*1000))/1)</f>
        <v>0</v>
      </c>
      <c r="F49" s="87" t="s">
        <v>82</v>
      </c>
      <c r="G49" s="85">
        <f>INT(E49/100)*100</f>
        <v>0</v>
      </c>
      <c r="H49" s="87" t="str">
        <f>IF(AND(G49=100,G50=0,G51=0),IF(G49=0," ",LOOKUP(G49,A36:C81,B36:B81)),IF(G49=0," ",LOOKUP(G49,A36:C81,C36:C81)))</f>
        <v xml:space="preserve"> </v>
      </c>
      <c r="I49" s="83"/>
      <c r="J49" s="136" t="s">
        <v>101</v>
      </c>
      <c r="K49" s="83"/>
    </row>
    <row r="50" spans="1:11" ht="9.9499999999999993" customHeight="1">
      <c r="A50" s="90">
        <v>14</v>
      </c>
      <c r="B50" s="91" t="s">
        <v>102</v>
      </c>
      <c r="C50" s="91" t="s">
        <v>102</v>
      </c>
      <c r="D50" s="83"/>
      <c r="E50" s="92">
        <f>+E49-G49</f>
        <v>0</v>
      </c>
      <c r="F50" s="87" t="s">
        <v>85</v>
      </c>
      <c r="G50" s="85">
        <f>INT(E50/10)*10</f>
        <v>0</v>
      </c>
      <c r="H50" s="87" t="str">
        <f>IF(OR(G50=10,G50=20),LOOKUP(E50,A36:C81,C36:C81),IF(AND(G50=100,G51=0,G61=0),IF(G50=0," ",LOOKUP(G50,A36:C81,B36:B81)),IF(G50=0," ",LOOKUP(G50,A36:C81,C36:C81))))</f>
        <v xml:space="preserve"> </v>
      </c>
      <c r="I50" s="87" t="str">
        <f>IF(G51=0," ",IF(AND(G50&gt;20,G50&lt;=90),"y"," "))</f>
        <v xml:space="preserve"> </v>
      </c>
      <c r="J50" s="136"/>
      <c r="K50" s="83"/>
    </row>
    <row r="51" spans="1:11" ht="9.9499999999999993" customHeight="1">
      <c r="A51" s="90">
        <v>15</v>
      </c>
      <c r="B51" s="91" t="s">
        <v>103</v>
      </c>
      <c r="C51" s="91" t="s">
        <v>103</v>
      </c>
      <c r="D51" s="83"/>
      <c r="E51" s="92">
        <f>+E50-G50</f>
        <v>0</v>
      </c>
      <c r="F51" s="87" t="s">
        <v>87</v>
      </c>
      <c r="G51" s="92">
        <f>INT(E51)</f>
        <v>0</v>
      </c>
      <c r="H51" s="87" t="str">
        <f>IF(AND(G49=0,G50=0,G51=1),"Un",IF(AND(G46=0,G47=0,G48=0,G49=0,G50=0,G51=1)," ",IF(OR(G50=10,G50=20)," ",IF(AND(G51=100,G61=0,G62=0),IF(G51=0," ",LOOKUP(G51,A36:C81,B36:B81)),IF(G51=0," ",LOOKUP(G51,A36:C81,B36:B81))))))</f>
        <v xml:space="preserve"> </v>
      </c>
      <c r="I51" s="87"/>
      <c r="J51" s="136"/>
      <c r="K51" s="83"/>
    </row>
    <row r="52" spans="1:11" ht="9.9499999999999993" customHeight="1">
      <c r="A52" s="90">
        <v>16</v>
      </c>
      <c r="B52" s="91" t="s">
        <v>104</v>
      </c>
      <c r="C52" s="91" t="s">
        <v>104</v>
      </c>
      <c r="D52" s="83"/>
      <c r="E52" s="83"/>
      <c r="F52" s="83"/>
      <c r="G52" s="83"/>
      <c r="H52" s="83"/>
      <c r="I52" s="83"/>
      <c r="J52" s="83"/>
      <c r="K52" s="83"/>
    </row>
    <row r="53" spans="1:11" ht="9.9499999999999993" customHeight="1">
      <c r="A53" s="90">
        <v>17</v>
      </c>
      <c r="B53" s="91" t="s">
        <v>105</v>
      </c>
      <c r="C53" s="91" t="s">
        <v>105</v>
      </c>
      <c r="D53" s="83"/>
      <c r="E53" s="83"/>
      <c r="F53" s="83"/>
      <c r="G53" s="83"/>
      <c r="H53" s="83"/>
      <c r="I53" s="83"/>
      <c r="J53" s="83"/>
      <c r="K53" s="83"/>
    </row>
    <row r="54" spans="1:11" ht="9.9499999999999993" customHeight="1">
      <c r="A54" s="90">
        <v>18</v>
      </c>
      <c r="B54" s="91" t="s">
        <v>106</v>
      </c>
      <c r="C54" s="91" t="s">
        <v>106</v>
      </c>
      <c r="D54" s="83"/>
      <c r="E54" s="83"/>
      <c r="F54" s="93"/>
      <c r="G54" s="83"/>
      <c r="H54" s="83"/>
      <c r="I54" s="83"/>
      <c r="J54" s="83"/>
      <c r="K54" s="83"/>
    </row>
    <row r="55" spans="1:11" ht="9.9499999999999993" customHeight="1">
      <c r="A55" s="90">
        <v>19</v>
      </c>
      <c r="B55" s="91" t="s">
        <v>107</v>
      </c>
      <c r="C55" s="91" t="s">
        <v>107</v>
      </c>
      <c r="D55" s="83"/>
      <c r="E55" s="83"/>
      <c r="F55" s="83"/>
      <c r="G55" s="83"/>
      <c r="H55" s="83"/>
      <c r="I55" s="83"/>
      <c r="J55" s="83"/>
      <c r="K55" s="83"/>
    </row>
    <row r="56" spans="1:11" ht="9.9499999999999993" customHeight="1">
      <c r="A56" s="90">
        <v>20</v>
      </c>
      <c r="B56" s="91" t="s">
        <v>108</v>
      </c>
      <c r="C56" s="91" t="s">
        <v>108</v>
      </c>
      <c r="D56" s="137" t="str">
        <f>H37&amp;" "&amp;H38&amp;" "&amp;I38&amp;" "&amp;" "&amp;H39&amp;" "&amp;I39&amp;" "&amp;H40&amp;" "&amp;H41&amp;" "&amp;I41&amp;" "&amp;" "&amp;H42&amp;" "&amp;I42&amp;" "&amp;H43&amp;" "&amp;H44&amp;" "&amp;I44&amp;" "&amp;H45&amp;" "&amp;I45&amp;" "&amp;H46&amp;" "&amp;H47&amp;" "&amp;I47&amp;" "&amp;H48&amp;" "&amp;I48&amp;" "&amp;H49&amp;" "&amp;H50&amp;" "&amp;I50&amp;" "&amp;H51&amp;" "&amp;H58</f>
        <v xml:space="preserve">                                                  de Pesos M/Cte</v>
      </c>
      <c r="E56" s="137"/>
      <c r="F56" s="137"/>
      <c r="G56" s="137"/>
      <c r="H56" s="137"/>
      <c r="I56" s="137"/>
      <c r="J56" s="137"/>
      <c r="K56" s="137"/>
    </row>
    <row r="57" spans="1:11" ht="9.9499999999999993" customHeight="1">
      <c r="A57" s="90">
        <v>21</v>
      </c>
      <c r="B57" s="91" t="s">
        <v>109</v>
      </c>
      <c r="C57" s="91" t="s">
        <v>110</v>
      </c>
      <c r="D57" s="137"/>
      <c r="E57" s="137"/>
      <c r="F57" s="137"/>
      <c r="G57" s="137"/>
      <c r="H57" s="137"/>
      <c r="I57" s="137"/>
      <c r="J57" s="137"/>
      <c r="K57" s="137"/>
    </row>
    <row r="58" spans="1:11" ht="9.9499999999999993" customHeight="1">
      <c r="A58" s="90">
        <v>22</v>
      </c>
      <c r="B58" s="91" t="s">
        <v>111</v>
      </c>
      <c r="C58" s="91" t="s">
        <v>111</v>
      </c>
      <c r="D58" s="83"/>
      <c r="E58" s="83"/>
      <c r="F58" s="83"/>
      <c r="G58" s="83"/>
      <c r="H58" s="83" t="str">
        <f>IF(F59&lt;&gt;0,"de Pesos M/Cte",IF(C32=1,"Peso M/Cte","Pesos M/Cte"))</f>
        <v>de Pesos M/Cte</v>
      </c>
      <c r="I58" s="83"/>
      <c r="J58" s="83"/>
      <c r="K58" s="83"/>
    </row>
    <row r="59" spans="1:11" ht="9.9499999999999993" customHeight="1">
      <c r="A59" s="90">
        <v>23</v>
      </c>
      <c r="B59" s="91" t="s">
        <v>112</v>
      </c>
      <c r="C59" s="91" t="s">
        <v>112</v>
      </c>
      <c r="D59" s="83"/>
      <c r="E59" s="84">
        <f>C32/1000000</f>
        <v>0</v>
      </c>
      <c r="F59" s="85" t="str">
        <f>IF(E59=INT(E59),"De Pesos M/Cte",0)</f>
        <v>De Pesos M/Cte</v>
      </c>
      <c r="G59" s="83"/>
      <c r="H59" s="83"/>
      <c r="I59" s="83"/>
      <c r="J59" s="83"/>
      <c r="K59" s="83"/>
    </row>
    <row r="60" spans="1:11" ht="9.9499999999999993" customHeight="1">
      <c r="A60" s="90">
        <v>24</v>
      </c>
      <c r="B60" s="91" t="s">
        <v>113</v>
      </c>
      <c r="C60" s="91" t="s">
        <v>113</v>
      </c>
      <c r="D60" s="83"/>
      <c r="E60" s="83"/>
      <c r="F60" s="83"/>
      <c r="G60" s="83"/>
      <c r="H60" s="83"/>
      <c r="I60" s="83"/>
      <c r="J60" s="83"/>
      <c r="K60" s="83"/>
    </row>
    <row r="61" spans="1:11" ht="9.9499999999999993" customHeight="1">
      <c r="A61" s="90">
        <v>25</v>
      </c>
      <c r="B61" s="91" t="s">
        <v>114</v>
      </c>
      <c r="C61" s="91" t="s">
        <v>114</v>
      </c>
      <c r="D61" s="83"/>
      <c r="E61" s="83"/>
      <c r="F61" s="83"/>
      <c r="G61" s="83"/>
      <c r="H61" s="83"/>
      <c r="I61" s="83"/>
      <c r="J61" s="83"/>
      <c r="K61" s="83"/>
    </row>
    <row r="62" spans="1:11" ht="9.9499999999999993" customHeight="1">
      <c r="A62" s="90">
        <v>26</v>
      </c>
      <c r="B62" s="91" t="s">
        <v>115</v>
      </c>
      <c r="C62" s="91" t="s">
        <v>115</v>
      </c>
      <c r="D62" s="83"/>
      <c r="E62" s="83"/>
      <c r="F62" s="83"/>
      <c r="G62" s="83"/>
      <c r="H62" s="83"/>
      <c r="I62" s="83"/>
      <c r="J62" s="83"/>
      <c r="K62" s="83"/>
    </row>
    <row r="63" spans="1:11" ht="9.9499999999999993" customHeight="1">
      <c r="A63" s="90">
        <v>27</v>
      </c>
      <c r="B63" s="91" t="s">
        <v>116</v>
      </c>
      <c r="C63" s="91" t="s">
        <v>116</v>
      </c>
      <c r="D63" s="83"/>
      <c r="E63" s="83"/>
      <c r="F63" s="83"/>
      <c r="G63" s="83"/>
      <c r="H63" s="83"/>
      <c r="I63" s="83"/>
      <c r="J63" s="83"/>
      <c r="K63" s="83"/>
    </row>
    <row r="64" spans="1:11" ht="9.9499999999999993" customHeight="1">
      <c r="A64" s="90">
        <v>28</v>
      </c>
      <c r="B64" s="91" t="s">
        <v>117</v>
      </c>
      <c r="C64" s="91" t="s">
        <v>117</v>
      </c>
      <c r="D64" s="83"/>
      <c r="E64" s="83"/>
      <c r="F64" s="83"/>
      <c r="G64" s="83"/>
      <c r="H64" s="83"/>
      <c r="I64" s="83"/>
      <c r="J64" s="83"/>
      <c r="K64" s="83"/>
    </row>
    <row r="65" spans="1:11" ht="9.9499999999999993" customHeight="1">
      <c r="A65" s="90">
        <v>29</v>
      </c>
      <c r="B65" s="91" t="s">
        <v>118</v>
      </c>
      <c r="C65" s="91" t="s">
        <v>118</v>
      </c>
      <c r="D65" s="83"/>
      <c r="E65" s="83"/>
      <c r="F65" s="83"/>
      <c r="G65" s="83"/>
      <c r="H65" s="83"/>
      <c r="I65" s="83"/>
      <c r="J65" s="83"/>
      <c r="K65" s="83"/>
    </row>
    <row r="66" spans="1:11" ht="9.9499999999999993" customHeight="1">
      <c r="A66" s="90">
        <v>30</v>
      </c>
      <c r="B66" s="91" t="s">
        <v>119</v>
      </c>
      <c r="C66" s="91" t="s">
        <v>119</v>
      </c>
      <c r="D66" s="83"/>
      <c r="E66" s="83"/>
      <c r="F66" s="83"/>
      <c r="G66" s="83"/>
      <c r="H66" s="83"/>
      <c r="I66" s="83"/>
      <c r="J66" s="83"/>
      <c r="K66" s="83"/>
    </row>
    <row r="67" spans="1:11" ht="9.9499999999999993" customHeight="1">
      <c r="A67" s="90">
        <v>40</v>
      </c>
      <c r="B67" s="91" t="s">
        <v>120</v>
      </c>
      <c r="C67" s="91" t="s">
        <v>120</v>
      </c>
      <c r="D67" s="83"/>
      <c r="E67" s="83"/>
      <c r="F67" s="83"/>
      <c r="G67" s="83"/>
      <c r="H67" s="83"/>
      <c r="I67" s="83"/>
      <c r="J67" s="83"/>
      <c r="K67" s="83"/>
    </row>
    <row r="68" spans="1:11" ht="9.9499999999999993" customHeight="1">
      <c r="A68" s="90">
        <v>50</v>
      </c>
      <c r="B68" s="91" t="s">
        <v>121</v>
      </c>
      <c r="C68" s="91" t="s">
        <v>121</v>
      </c>
      <c r="D68" s="83"/>
      <c r="E68" s="83"/>
      <c r="F68" s="83"/>
      <c r="G68" s="83"/>
      <c r="H68" s="83"/>
      <c r="I68" s="83"/>
      <c r="J68" s="83"/>
      <c r="K68" s="83"/>
    </row>
    <row r="69" spans="1:11" ht="9.9499999999999993" customHeight="1">
      <c r="A69" s="90">
        <v>60</v>
      </c>
      <c r="B69" s="91" t="s">
        <v>122</v>
      </c>
      <c r="C69" s="91" t="s">
        <v>122</v>
      </c>
      <c r="D69" s="83"/>
      <c r="E69" s="83"/>
      <c r="F69" s="83"/>
      <c r="G69" s="83"/>
      <c r="H69" s="83"/>
      <c r="I69" s="83"/>
      <c r="J69" s="83"/>
      <c r="K69" s="83"/>
    </row>
    <row r="70" spans="1:11" ht="9.9499999999999993" customHeight="1">
      <c r="A70" s="90">
        <v>70</v>
      </c>
      <c r="B70" s="91" t="s">
        <v>123</v>
      </c>
      <c r="C70" s="91" t="s">
        <v>123</v>
      </c>
      <c r="D70" s="83"/>
      <c r="E70" s="83"/>
      <c r="F70" s="83"/>
      <c r="G70" s="83"/>
      <c r="H70" s="83"/>
      <c r="I70" s="83"/>
      <c r="J70" s="83"/>
      <c r="K70" s="83"/>
    </row>
    <row r="71" spans="1:11" ht="9.9499999999999993" customHeight="1">
      <c r="A71" s="90">
        <v>80</v>
      </c>
      <c r="B71" s="91" t="s">
        <v>124</v>
      </c>
      <c r="C71" s="91" t="s">
        <v>124</v>
      </c>
      <c r="D71" s="83"/>
      <c r="E71" s="83"/>
      <c r="F71" s="83"/>
      <c r="G71" s="83"/>
      <c r="H71" s="83"/>
      <c r="I71" s="83"/>
      <c r="J71" s="83"/>
      <c r="K71" s="83"/>
    </row>
    <row r="72" spans="1:11" ht="9.9499999999999993" customHeight="1">
      <c r="A72" s="90">
        <v>90</v>
      </c>
      <c r="B72" s="91" t="s">
        <v>125</v>
      </c>
      <c r="C72" s="91" t="s">
        <v>125</v>
      </c>
      <c r="D72" s="83"/>
      <c r="E72" s="83"/>
      <c r="F72" s="83"/>
      <c r="G72" s="83"/>
      <c r="H72" s="83"/>
      <c r="I72" s="83"/>
      <c r="J72" s="83"/>
      <c r="K72" s="83"/>
    </row>
    <row r="73" spans="1:11" ht="9.9499999999999993" customHeight="1">
      <c r="A73" s="90">
        <v>100</v>
      </c>
      <c r="B73" s="91" t="s">
        <v>126</v>
      </c>
      <c r="C73" s="91" t="s">
        <v>127</v>
      </c>
      <c r="D73" s="83"/>
      <c r="E73" s="83"/>
      <c r="F73" s="83"/>
      <c r="G73" s="83"/>
      <c r="H73" s="83"/>
      <c r="I73" s="83"/>
      <c r="J73" s="83"/>
      <c r="K73" s="83"/>
    </row>
    <row r="74" spans="1:11" ht="9.9499999999999993" customHeight="1">
      <c r="A74" s="90">
        <v>200</v>
      </c>
      <c r="B74" s="91" t="s">
        <v>128</v>
      </c>
      <c r="C74" s="91" t="s">
        <v>128</v>
      </c>
      <c r="D74" s="83"/>
      <c r="E74" s="83"/>
      <c r="F74" s="83"/>
      <c r="G74" s="83"/>
      <c r="H74" s="83"/>
      <c r="I74" s="83"/>
      <c r="J74" s="83"/>
      <c r="K74" s="83"/>
    </row>
    <row r="75" spans="1:11" ht="9.9499999999999993" customHeight="1">
      <c r="A75" s="90">
        <v>300</v>
      </c>
      <c r="B75" s="91" t="s">
        <v>129</v>
      </c>
      <c r="C75" s="91" t="s">
        <v>129</v>
      </c>
      <c r="D75" s="83"/>
      <c r="E75" s="83"/>
      <c r="F75" s="83"/>
      <c r="G75" s="83"/>
      <c r="H75" s="83"/>
      <c r="I75" s="83"/>
      <c r="J75" s="83"/>
      <c r="K75" s="83"/>
    </row>
    <row r="76" spans="1:11" ht="9.9499999999999993" customHeight="1">
      <c r="A76" s="90">
        <v>400</v>
      </c>
      <c r="B76" s="91" t="s">
        <v>130</v>
      </c>
      <c r="C76" s="91" t="s">
        <v>130</v>
      </c>
      <c r="D76" s="83"/>
      <c r="E76" s="83"/>
      <c r="F76" s="83"/>
      <c r="G76" s="83"/>
      <c r="H76" s="83"/>
      <c r="I76" s="83"/>
      <c r="J76" s="83"/>
      <c r="K76" s="83"/>
    </row>
    <row r="77" spans="1:11" ht="9.9499999999999993" customHeight="1">
      <c r="A77" s="90">
        <v>500</v>
      </c>
      <c r="B77" s="91" t="s">
        <v>131</v>
      </c>
      <c r="C77" s="91" t="s">
        <v>131</v>
      </c>
      <c r="D77" s="83"/>
      <c r="E77" s="83"/>
      <c r="F77" s="83"/>
      <c r="G77" s="83"/>
      <c r="H77" s="83"/>
      <c r="I77" s="83"/>
      <c r="J77" s="83"/>
      <c r="K77" s="83"/>
    </row>
    <row r="78" spans="1:11" ht="9.9499999999999993" customHeight="1">
      <c r="A78" s="90">
        <v>600</v>
      </c>
      <c r="B78" s="91" t="s">
        <v>132</v>
      </c>
      <c r="C78" s="91" t="s">
        <v>132</v>
      </c>
      <c r="D78" s="83"/>
      <c r="E78" s="83"/>
      <c r="F78" s="83"/>
      <c r="G78" s="83"/>
      <c r="H78" s="83"/>
      <c r="I78" s="83"/>
      <c r="J78" s="83"/>
      <c r="K78" s="83"/>
    </row>
    <row r="79" spans="1:11" ht="9.9499999999999993" customHeight="1">
      <c r="A79" s="90">
        <v>700</v>
      </c>
      <c r="B79" s="91" t="s">
        <v>133</v>
      </c>
      <c r="C79" s="91" t="s">
        <v>133</v>
      </c>
      <c r="D79" s="83"/>
      <c r="E79" s="83"/>
      <c r="F79" s="83"/>
      <c r="G79" s="83"/>
      <c r="H79" s="83"/>
      <c r="I79" s="83"/>
      <c r="J79" s="83"/>
      <c r="K79" s="83"/>
    </row>
    <row r="80" spans="1:11" ht="9.9499999999999993" customHeight="1">
      <c r="A80" s="90">
        <v>800</v>
      </c>
      <c r="B80" s="91" t="s">
        <v>134</v>
      </c>
      <c r="C80" s="91" t="s">
        <v>134</v>
      </c>
      <c r="D80" s="83"/>
      <c r="E80" s="83"/>
      <c r="F80" s="83"/>
      <c r="G80" s="83"/>
      <c r="H80" s="83"/>
      <c r="I80" s="83"/>
      <c r="J80" s="83"/>
      <c r="K80" s="83"/>
    </row>
    <row r="81" spans="1:11" ht="9.9499999999999993" customHeight="1">
      <c r="A81" s="90">
        <v>900</v>
      </c>
      <c r="B81" s="91" t="s">
        <v>135</v>
      </c>
      <c r="C81" s="91" t="s">
        <v>135</v>
      </c>
      <c r="D81" s="83"/>
      <c r="E81" s="83"/>
      <c r="F81" s="83"/>
      <c r="G81" s="83"/>
      <c r="H81" s="83"/>
      <c r="I81" s="83"/>
      <c r="J81" s="83"/>
      <c r="K81" s="83"/>
    </row>
    <row r="82" spans="1:11" ht="9.9499999999999993" customHeight="1">
      <c r="A82" s="83"/>
      <c r="B82" s="83"/>
      <c r="C82" s="83"/>
      <c r="D82" s="83"/>
      <c r="E82" s="83"/>
      <c r="F82" s="83"/>
      <c r="G82" s="83"/>
      <c r="H82" s="83"/>
      <c r="I82" s="83"/>
      <c r="J82" s="83"/>
      <c r="K82" s="83"/>
    </row>
    <row r="83" spans="1:11" ht="9.9499999999999993" customHeight="1">
      <c r="A83" s="83"/>
      <c r="B83" s="83"/>
      <c r="C83" s="83"/>
      <c r="D83" s="83"/>
      <c r="E83" s="83"/>
      <c r="F83" s="83"/>
      <c r="G83" s="83"/>
      <c r="H83" s="83"/>
      <c r="I83" s="83"/>
      <c r="J83" s="83"/>
      <c r="K83" s="83"/>
    </row>
    <row r="84" spans="1:11" ht="9.9499999999999993" customHeight="1">
      <c r="A84" s="83"/>
      <c r="B84" s="83"/>
      <c r="C84" s="83"/>
      <c r="D84" s="83"/>
      <c r="E84" s="83"/>
      <c r="F84" s="83"/>
      <c r="G84" s="83"/>
      <c r="H84" s="83"/>
      <c r="I84" s="83"/>
      <c r="J84" s="83"/>
      <c r="K84" s="83"/>
    </row>
    <row r="85" spans="1:11" ht="9.9499999999999993" customHeight="1">
      <c r="A85" s="83"/>
      <c r="B85" s="83"/>
      <c r="C85" s="83"/>
      <c r="D85" s="83"/>
      <c r="E85" s="83"/>
      <c r="F85" s="83"/>
      <c r="G85" s="83"/>
      <c r="H85" s="83"/>
      <c r="I85" s="83"/>
      <c r="J85" s="83"/>
      <c r="K85" s="83"/>
    </row>
    <row r="86" spans="1:11" ht="9.9499999999999993" customHeight="1">
      <c r="A86" s="83"/>
      <c r="B86" s="83"/>
      <c r="C86" s="83"/>
      <c r="D86" s="83"/>
      <c r="E86" s="83"/>
      <c r="F86" s="83"/>
      <c r="G86" s="83"/>
      <c r="H86" s="83"/>
      <c r="I86" s="83"/>
      <c r="J86" s="83"/>
      <c r="K86" s="83"/>
    </row>
    <row r="87" spans="1:11" ht="9.9499999999999993" customHeight="1">
      <c r="A87" s="83"/>
      <c r="B87" s="83"/>
      <c r="C87" s="83"/>
      <c r="D87" s="83"/>
      <c r="E87" s="83"/>
      <c r="F87" s="83"/>
      <c r="G87" s="83"/>
      <c r="H87" s="83"/>
      <c r="I87" s="83"/>
      <c r="J87" s="83"/>
      <c r="K87" s="83"/>
    </row>
    <row r="88" spans="1:11" ht="9.9499999999999993" customHeight="1"/>
    <row r="89" spans="1:11" ht="9.9499999999999993" customHeight="1"/>
    <row r="90" spans="1:11" ht="9.9499999999999993" customHeight="1"/>
    <row r="91" spans="1:11" ht="9.9499999999999993" customHeight="1"/>
    <row r="92" spans="1:11" ht="9.9499999999999993" customHeight="1"/>
    <row r="93" spans="1:11" ht="9.9499999999999993" customHeight="1"/>
    <row r="94" spans="1:11" ht="9.9499999999999993" customHeight="1"/>
    <row r="95" spans="1:11" ht="9.9499999999999993" customHeight="1"/>
    <row r="96" spans="1:11" ht="9.9499999999999993" customHeight="1"/>
    <row r="97" ht="9.9499999999999993" customHeight="1"/>
    <row r="98" ht="9.9499999999999993" customHeight="1"/>
    <row r="99" ht="9.9499999999999993" customHeight="1"/>
    <row r="100" ht="9.9499999999999993" customHeight="1"/>
    <row r="101" ht="9.9499999999999993" customHeight="1"/>
    <row r="102" ht="9.9499999999999993" customHeight="1"/>
    <row r="103" ht="9.9499999999999993" customHeight="1"/>
    <row r="104" ht="9.9499999999999993" customHeight="1"/>
    <row r="105" ht="9.9499999999999993" customHeight="1"/>
    <row r="106" ht="9.9499999999999993" customHeight="1"/>
    <row r="107" ht="9.9499999999999993" customHeight="1"/>
    <row r="108" ht="9.9499999999999993" customHeight="1"/>
    <row r="109" ht="9.9499999999999993" customHeight="1"/>
    <row r="110" ht="9.9499999999999993" customHeight="1"/>
    <row r="111" ht="9.9499999999999993" customHeight="1"/>
    <row r="112" ht="9.9499999999999993" customHeight="1"/>
    <row r="113" ht="9.9499999999999993" customHeight="1"/>
    <row r="114" ht="9.9499999999999993" customHeight="1"/>
    <row r="115" ht="9.9499999999999993" customHeight="1"/>
    <row r="116" ht="9.9499999999999993" customHeight="1"/>
    <row r="117" ht="9.9499999999999993" customHeight="1"/>
    <row r="118" ht="9.9499999999999993" customHeight="1"/>
    <row r="119" ht="9.9499999999999993" customHeight="1"/>
    <row r="120" ht="9.9499999999999993" customHeight="1"/>
    <row r="121" ht="9.9499999999999993" customHeight="1"/>
    <row r="122" ht="9.9499999999999993" customHeight="1"/>
    <row r="123" ht="9.9499999999999993" customHeight="1"/>
    <row r="124" ht="9.9499999999999993" customHeight="1"/>
    <row r="125" ht="9.9499999999999993" customHeight="1"/>
    <row r="126" ht="9.9499999999999993" customHeight="1"/>
    <row r="127" ht="9.9499999999999993" customHeight="1"/>
    <row r="128" ht="9.9499999999999993" customHeight="1"/>
    <row r="129" ht="9.9499999999999993" customHeight="1"/>
    <row r="130" ht="9.9499999999999993" customHeight="1"/>
    <row r="131" ht="9.9499999999999993" customHeight="1"/>
    <row r="132" ht="9.9499999999999993" customHeight="1"/>
    <row r="133" ht="9.9499999999999993" customHeight="1"/>
    <row r="134" ht="66.75" customHeight="1"/>
    <row r="135" ht="66.75" customHeight="1"/>
    <row r="136" ht="66.75" customHeight="1"/>
    <row r="137" ht="66.75" customHeight="1"/>
    <row r="138" ht="66.75" customHeight="1"/>
    <row r="139" ht="66.75" customHeight="1"/>
    <row r="140" ht="66.75" customHeight="1"/>
    <row r="141" ht="66.75" customHeight="1"/>
    <row r="142" ht="66.75" customHeight="1"/>
    <row r="143" ht="66.75" customHeight="1"/>
    <row r="144" ht="66.75" customHeight="1"/>
    <row r="145" ht="66.75" customHeight="1"/>
    <row r="146" ht="66.75" customHeight="1"/>
    <row r="147" ht="66.75" customHeight="1"/>
    <row r="148" ht="66.75" customHeight="1"/>
    <row r="149" ht="66.75" customHeight="1"/>
    <row r="150" ht="66.75" customHeight="1"/>
    <row r="151" ht="66.75" customHeight="1"/>
    <row r="152" ht="66.75" customHeight="1"/>
    <row r="153" ht="66.75" customHeight="1"/>
    <row r="154" ht="66.75" customHeight="1"/>
    <row r="155" ht="66.75" customHeight="1"/>
    <row r="156" ht="66.75" customHeight="1"/>
    <row r="157" ht="66.75" customHeight="1"/>
    <row r="158" ht="66.75" customHeight="1"/>
    <row r="159" ht="66.75" customHeight="1"/>
    <row r="160" ht="66.75" customHeight="1"/>
    <row r="161" ht="66.75" customHeight="1"/>
    <row r="162" ht="66.75" customHeight="1"/>
    <row r="163" ht="66.75" customHeight="1"/>
    <row r="164" ht="66.75" customHeight="1"/>
    <row r="165" ht="66.75" customHeight="1"/>
    <row r="166" ht="66.75" customHeight="1"/>
    <row r="167" ht="66.75" customHeight="1"/>
    <row r="168" ht="66.75" customHeight="1"/>
    <row r="169" ht="66.75" customHeight="1"/>
    <row r="170" ht="66.75" customHeight="1"/>
    <row r="171" ht="66.75" customHeight="1"/>
    <row r="172" ht="66.75" customHeight="1"/>
    <row r="173" ht="66.75" customHeight="1"/>
    <row r="174" ht="66.75" customHeight="1"/>
    <row r="175" ht="66.75" customHeight="1"/>
    <row r="176" ht="66.75" customHeight="1"/>
    <row r="177" ht="66.75" customHeight="1"/>
    <row r="178" ht="66.75" customHeight="1"/>
    <row r="179" ht="66.75" customHeight="1"/>
    <row r="180" ht="66.75" customHeight="1"/>
    <row r="181" ht="66.75" customHeight="1"/>
    <row r="182" ht="66.75" customHeight="1"/>
    <row r="183" ht="66.75" customHeight="1"/>
    <row r="184" ht="66.75" customHeight="1"/>
    <row r="185" ht="66.75" customHeight="1"/>
    <row r="186" ht="66.75" customHeight="1"/>
    <row r="187" ht="66.75" customHeight="1"/>
    <row r="188" ht="66.75" customHeight="1"/>
    <row r="189" ht="66.75" customHeight="1"/>
    <row r="190" ht="66.75" customHeight="1"/>
    <row r="191" ht="66.75" customHeight="1"/>
    <row r="192" ht="66.75" customHeight="1"/>
    <row r="193" ht="66.75" customHeight="1"/>
    <row r="194" ht="66.75" customHeight="1"/>
    <row r="195" ht="66.75" customHeight="1"/>
    <row r="196" ht="66.75" customHeight="1"/>
    <row r="197" ht="66.75" customHeight="1"/>
    <row r="198" ht="66.75" customHeight="1"/>
    <row r="199" ht="66.75" customHeight="1"/>
    <row r="200" ht="66.75" customHeight="1"/>
    <row r="201" ht="66.75" customHeight="1"/>
    <row r="202" ht="66.75" customHeight="1"/>
    <row r="203" ht="66.75" customHeight="1"/>
    <row r="204" ht="66.75" customHeight="1"/>
    <row r="205" ht="66.75" customHeight="1"/>
    <row r="206" ht="66.75" customHeight="1"/>
    <row r="207" ht="66.75" customHeight="1"/>
    <row r="208" ht="66.75" customHeight="1"/>
    <row r="209" ht="66.75" customHeight="1"/>
    <row r="210" ht="66.75" customHeight="1"/>
    <row r="211" ht="66.75" customHeight="1"/>
    <row r="212" ht="66.75" customHeight="1"/>
    <row r="213" ht="66.75" customHeight="1"/>
    <row r="214" ht="66.75" customHeight="1"/>
    <row r="215" ht="66.75" customHeight="1"/>
    <row r="216" ht="66.75" customHeight="1"/>
    <row r="217" ht="66.75" customHeight="1"/>
    <row r="218" ht="66.75" customHeight="1"/>
    <row r="219" ht="66.75" customHeight="1"/>
    <row r="220" ht="66.75" customHeight="1"/>
    <row r="221" ht="66.75" customHeight="1"/>
    <row r="222" ht="66.75" customHeight="1"/>
    <row r="223" ht="66.75" customHeight="1"/>
    <row r="224" ht="66.75" customHeight="1"/>
    <row r="225" ht="66.75" customHeight="1"/>
    <row r="226" ht="66.75" customHeight="1"/>
    <row r="227" ht="66.75" customHeight="1"/>
    <row r="228" ht="66.75" customHeight="1"/>
    <row r="229" ht="66.75" customHeight="1"/>
    <row r="230" ht="66.75" customHeight="1"/>
    <row r="231" ht="66.75" customHeight="1"/>
    <row r="232" ht="66.75" customHeight="1"/>
    <row r="233" ht="66.75" customHeight="1"/>
    <row r="234" ht="66.75" customHeight="1"/>
    <row r="235" ht="66.75" customHeight="1"/>
    <row r="236" ht="66.75" customHeight="1"/>
    <row r="237" ht="66.75" customHeight="1"/>
    <row r="238" ht="66.75" customHeight="1"/>
    <row r="239" ht="66.75" customHeight="1"/>
    <row r="240" ht="66.75" customHeight="1"/>
    <row r="241" ht="66.75" customHeight="1"/>
    <row r="242" ht="66.75" customHeight="1"/>
    <row r="243" ht="66.75" customHeight="1"/>
    <row r="244" ht="66.75" customHeight="1"/>
    <row r="245" ht="66.75" customHeight="1"/>
    <row r="246" ht="66.75" customHeight="1"/>
    <row r="247" ht="66.75" customHeight="1"/>
    <row r="248" ht="66.75" customHeight="1"/>
    <row r="249" ht="66.75" customHeight="1"/>
    <row r="250" ht="66.75" customHeight="1"/>
    <row r="251" ht="66.75" customHeight="1"/>
    <row r="252" ht="66.75" customHeight="1"/>
    <row r="253" ht="66.75" customHeight="1"/>
    <row r="254" ht="66.75" customHeight="1"/>
    <row r="255" ht="66.75" customHeight="1"/>
    <row r="256" ht="66.75" customHeight="1"/>
    <row r="257" ht="66.75" customHeight="1"/>
    <row r="258" ht="66.75" customHeight="1"/>
    <row r="259" ht="66.75" customHeight="1"/>
    <row r="260" ht="66.75" customHeight="1"/>
    <row r="261" ht="66.75" customHeight="1"/>
    <row r="262" ht="66.75" customHeight="1"/>
    <row r="263" ht="66.75" customHeight="1"/>
    <row r="264" ht="66.75" customHeight="1"/>
    <row r="265" ht="66.75" customHeight="1"/>
    <row r="266" ht="66.75" customHeight="1"/>
    <row r="267" ht="66.75" customHeight="1"/>
    <row r="268" ht="66.75" customHeight="1"/>
    <row r="269" ht="66.75" customHeight="1"/>
    <row r="270" ht="66.75" customHeight="1"/>
    <row r="271" ht="66.75" customHeight="1"/>
    <row r="272" ht="66.75" customHeight="1"/>
    <row r="273" ht="66.75" customHeight="1"/>
    <row r="274" ht="66.75" customHeight="1"/>
    <row r="275" ht="66.75" customHeight="1"/>
    <row r="276" ht="66.75" customHeight="1"/>
    <row r="277" ht="66.75" customHeight="1"/>
    <row r="278" ht="66.75" customHeight="1"/>
    <row r="279" ht="66.75" customHeight="1"/>
    <row r="280" ht="66.75" customHeight="1"/>
    <row r="281" ht="66.75" customHeight="1"/>
    <row r="282" ht="66.75" customHeight="1"/>
    <row r="283" ht="66.75" customHeight="1"/>
    <row r="284" ht="66.75" customHeight="1"/>
    <row r="285" ht="66.75" customHeight="1"/>
    <row r="286" ht="66.75" customHeight="1"/>
    <row r="287" ht="66.75" customHeight="1"/>
    <row r="288" ht="66.75" customHeight="1"/>
    <row r="289" ht="66.75" customHeight="1"/>
    <row r="290" ht="66.75" customHeight="1"/>
    <row r="291" ht="66.75" customHeight="1"/>
    <row r="292" ht="66.75" customHeight="1"/>
    <row r="293" ht="66.75" customHeight="1"/>
    <row r="294" ht="66.75" customHeight="1"/>
    <row r="295" ht="66.75" customHeight="1"/>
    <row r="296" ht="66.75" customHeight="1"/>
    <row r="297" ht="66.75" customHeight="1"/>
    <row r="298" ht="66.75" customHeight="1"/>
    <row r="299" ht="66.75" customHeight="1"/>
    <row r="300" ht="66.75" customHeight="1"/>
    <row r="301" ht="66.75" customHeight="1"/>
    <row r="302" ht="66.75" customHeight="1"/>
    <row r="303" ht="66.75" customHeight="1"/>
    <row r="304" ht="66.75" customHeight="1"/>
    <row r="305" ht="66.75" customHeight="1"/>
    <row r="306" ht="66.75" customHeight="1"/>
    <row r="307" ht="66.75" customHeight="1"/>
    <row r="308" ht="66.75" customHeight="1"/>
    <row r="309" ht="66.75" customHeight="1"/>
    <row r="310" ht="66.75" customHeight="1"/>
    <row r="311" ht="66.75" customHeight="1"/>
    <row r="312" ht="66.75" customHeight="1"/>
    <row r="313" ht="66.75" customHeight="1"/>
    <row r="314" ht="66.75" customHeight="1"/>
    <row r="315" ht="66.75" customHeight="1"/>
    <row r="316" ht="66.75" customHeight="1"/>
    <row r="317" ht="66.75" customHeight="1"/>
    <row r="318" ht="66.75" customHeight="1"/>
    <row r="319" ht="66.75" customHeight="1"/>
    <row r="320" ht="66.75" customHeight="1"/>
    <row r="321" ht="66.75" customHeight="1"/>
    <row r="322" ht="66.75" customHeight="1"/>
    <row r="323" ht="66.75" customHeight="1"/>
    <row r="324" ht="66.75" customHeight="1"/>
    <row r="325" ht="66.75" customHeight="1"/>
    <row r="326" ht="66.75" customHeight="1"/>
    <row r="327" ht="66.75" customHeight="1"/>
    <row r="328" ht="66.75" customHeight="1"/>
    <row r="329" ht="66.75" customHeight="1"/>
    <row r="330" ht="66.75" customHeight="1"/>
    <row r="331" ht="66.75" customHeight="1"/>
    <row r="332" ht="66.75" customHeight="1"/>
    <row r="333" ht="66.75" customHeight="1"/>
    <row r="334" ht="66.75" customHeight="1"/>
    <row r="335" ht="66.75" customHeight="1"/>
    <row r="336" ht="66.75" customHeight="1"/>
    <row r="337" ht="66.75" customHeight="1"/>
    <row r="338" ht="66.75" customHeight="1"/>
    <row r="339" ht="66.75" customHeight="1"/>
    <row r="340" ht="66.75" customHeight="1"/>
    <row r="341" ht="66.75" customHeight="1"/>
    <row r="342" ht="66.75" customHeight="1"/>
    <row r="343" ht="66.75" customHeight="1"/>
    <row r="344" ht="66.75" customHeight="1"/>
    <row r="345" ht="66.75" customHeight="1"/>
    <row r="346" ht="66.75" customHeight="1"/>
    <row r="347" ht="66.75" customHeight="1"/>
    <row r="348" ht="66.75" customHeight="1"/>
    <row r="349" ht="66.75" customHeight="1"/>
    <row r="350" ht="66.75" customHeight="1"/>
    <row r="351" ht="66.75" customHeight="1"/>
    <row r="352" ht="66.75" customHeight="1"/>
    <row r="353" ht="66.75" customHeight="1"/>
    <row r="354" ht="66.75" customHeight="1"/>
    <row r="355" ht="66.75" customHeight="1"/>
    <row r="356" ht="66.75" customHeight="1"/>
    <row r="357" ht="66.75" customHeight="1"/>
    <row r="358" ht="66.75" customHeight="1"/>
    <row r="359" ht="66.75" customHeight="1"/>
    <row r="360" ht="66.75" customHeight="1"/>
    <row r="361" ht="66.75" customHeight="1"/>
    <row r="362" ht="66.75" customHeight="1"/>
    <row r="363" ht="66.75" customHeight="1"/>
    <row r="364" ht="66.75" customHeight="1"/>
    <row r="365" ht="66.75" customHeight="1"/>
    <row r="366" ht="66.75" customHeight="1"/>
    <row r="367" ht="66.75" customHeight="1"/>
    <row r="368" ht="66.75" customHeight="1"/>
    <row r="369" ht="66.75" customHeight="1"/>
    <row r="370" ht="66.75" customHeight="1"/>
    <row r="371" ht="66.75" customHeight="1"/>
    <row r="372" ht="66.75" customHeight="1"/>
    <row r="373" ht="66.75" customHeight="1"/>
    <row r="374" ht="66.75" customHeight="1"/>
    <row r="375" ht="66.75" customHeight="1"/>
    <row r="376" ht="66.75" customHeight="1"/>
    <row r="377" ht="66.75" customHeight="1"/>
    <row r="378" ht="66.75" customHeight="1"/>
    <row r="379" ht="66.75" customHeight="1"/>
    <row r="380" ht="66.75" customHeight="1"/>
    <row r="381" ht="66.75" customHeight="1"/>
    <row r="382" ht="66.75" customHeight="1"/>
    <row r="383" ht="66.75" customHeight="1"/>
    <row r="384" ht="66.75" customHeight="1"/>
    <row r="385" ht="66.75" customHeight="1"/>
    <row r="386" ht="66.75" customHeight="1"/>
    <row r="387" ht="66.75" customHeight="1"/>
    <row r="388" ht="66.75" customHeight="1"/>
    <row r="389" ht="66.75" customHeight="1"/>
    <row r="390" ht="66.75" customHeight="1"/>
    <row r="391" ht="66.75" customHeight="1"/>
    <row r="392" ht="66.75" customHeight="1"/>
    <row r="393" ht="66.75" customHeight="1"/>
    <row r="394" ht="66.75" customHeight="1"/>
    <row r="395" ht="66.75" customHeight="1"/>
    <row r="396" ht="66.75" customHeight="1"/>
    <row r="397" ht="66.75" customHeight="1"/>
    <row r="398" ht="66.75" customHeight="1"/>
    <row r="399" ht="66.75" customHeight="1"/>
    <row r="400" ht="66.75" customHeight="1"/>
    <row r="401" ht="66.75" customHeight="1"/>
    <row r="402" ht="66.75" customHeight="1"/>
    <row r="403" ht="66.75" customHeight="1"/>
    <row r="404" ht="66.75" customHeight="1"/>
    <row r="405" ht="66.75" customHeight="1"/>
    <row r="406" ht="66.75" customHeight="1"/>
    <row r="407" ht="66.75" customHeight="1"/>
    <row r="408" ht="66.75" customHeight="1"/>
    <row r="409" ht="66.75" customHeight="1"/>
    <row r="410" ht="66.75" customHeight="1"/>
    <row r="411" ht="66.75" customHeight="1"/>
    <row r="412" ht="66.75" customHeight="1"/>
    <row r="413" ht="66.75" customHeight="1"/>
    <row r="414" ht="66.75" customHeight="1"/>
    <row r="415" ht="66.75" customHeight="1"/>
    <row r="416" ht="66.75" customHeight="1"/>
    <row r="417" ht="66.75" customHeight="1"/>
    <row r="418" ht="66.75" customHeight="1"/>
    <row r="419" ht="66.75" customHeight="1"/>
    <row r="420" ht="66.75" customHeight="1"/>
    <row r="421" ht="66.75" customHeight="1"/>
    <row r="422" ht="66.75" customHeight="1"/>
    <row r="423" ht="66.75" customHeight="1"/>
    <row r="424" ht="66.75" customHeight="1"/>
    <row r="425" ht="66.75" customHeight="1"/>
    <row r="426" ht="66.75" customHeight="1"/>
    <row r="427" ht="66.75" customHeight="1"/>
    <row r="428" ht="66.75" customHeight="1"/>
    <row r="429" ht="66.75" customHeight="1"/>
    <row r="430" ht="66.75" customHeight="1"/>
    <row r="431" ht="66.75" customHeight="1"/>
    <row r="432" ht="66.75" customHeight="1"/>
    <row r="433" ht="66.75" customHeight="1"/>
    <row r="434" ht="66.75" customHeight="1"/>
    <row r="435" ht="66.75" customHeight="1"/>
    <row r="436" ht="66.75" customHeight="1"/>
    <row r="437" ht="66.75" customHeight="1"/>
    <row r="438" ht="66.75" customHeight="1"/>
    <row r="439" ht="66.75" customHeight="1"/>
    <row r="440" ht="66.75" customHeight="1"/>
    <row r="441" ht="66.75" customHeight="1"/>
    <row r="442" ht="66.75" customHeight="1"/>
    <row r="443" ht="66.75" customHeight="1"/>
    <row r="444" ht="66.75" customHeight="1"/>
    <row r="445" ht="66.75" customHeight="1"/>
    <row r="446" ht="66.75" customHeight="1"/>
    <row r="447" ht="66.75" customHeight="1"/>
    <row r="448" ht="66.75" customHeight="1"/>
    <row r="449" ht="66.75" customHeight="1"/>
    <row r="450" ht="66.75" customHeight="1"/>
    <row r="451" ht="66.75" customHeight="1"/>
    <row r="452" ht="66.75" customHeight="1"/>
    <row r="453" ht="66.75" customHeight="1"/>
    <row r="454" ht="66.75" customHeight="1"/>
    <row r="455" ht="66.75" customHeight="1"/>
    <row r="456" ht="66.75" customHeight="1"/>
    <row r="457" ht="66.75" customHeight="1"/>
    <row r="458" ht="66.75" customHeight="1"/>
    <row r="459" ht="66.75" customHeight="1"/>
    <row r="460" ht="66.75" customHeight="1"/>
    <row r="461" ht="66.75" customHeight="1"/>
    <row r="462" ht="66.75" customHeight="1"/>
    <row r="463" ht="66.75" customHeight="1"/>
    <row r="464" ht="66.75" customHeight="1"/>
    <row r="465" ht="66.75" customHeight="1"/>
    <row r="466" ht="66.75" customHeight="1"/>
    <row r="467" ht="66.75" customHeight="1"/>
    <row r="468" ht="66.75" customHeight="1"/>
    <row r="469" ht="66.75" customHeight="1"/>
    <row r="470" ht="66.75" customHeight="1"/>
    <row r="471" ht="66.75" customHeight="1"/>
    <row r="472" ht="66.75" customHeight="1"/>
    <row r="473" ht="66.75" customHeight="1"/>
    <row r="474" ht="66.75" customHeight="1"/>
    <row r="475" ht="66.75" customHeight="1"/>
    <row r="476" ht="66.75" customHeight="1"/>
    <row r="477" ht="66.75" customHeight="1"/>
    <row r="478" ht="66.75" customHeight="1"/>
    <row r="479" ht="66.75" customHeight="1"/>
    <row r="480" ht="66.75" customHeight="1"/>
    <row r="481" ht="66.75" customHeight="1"/>
    <row r="482" ht="66.75" customHeight="1"/>
    <row r="483" ht="66.75" customHeight="1"/>
    <row r="484" ht="66.75" customHeight="1"/>
    <row r="485" ht="66.75" customHeight="1"/>
    <row r="486" ht="66.75" customHeight="1"/>
    <row r="487" ht="66.75" customHeight="1"/>
    <row r="488" ht="66.75" customHeight="1"/>
    <row r="489" ht="66.75" customHeight="1"/>
    <row r="490" ht="66.75" customHeight="1"/>
    <row r="491" ht="66.75" customHeight="1"/>
    <row r="492" ht="66.75" customHeight="1"/>
    <row r="493" ht="66.75" customHeight="1"/>
    <row r="494" ht="66.75" customHeight="1"/>
    <row r="495" ht="66.75" customHeight="1"/>
    <row r="496" ht="66.75" customHeight="1"/>
    <row r="497" ht="66.75" customHeight="1"/>
    <row r="498" ht="66.75" customHeight="1"/>
    <row r="499" ht="66.75" customHeight="1"/>
    <row r="500" ht="66.75" customHeight="1"/>
    <row r="501" ht="66.75" customHeight="1"/>
    <row r="502" ht="66.75" customHeight="1"/>
    <row r="503" ht="66.75" customHeight="1"/>
    <row r="504" ht="66.75" customHeight="1"/>
    <row r="505" ht="66.75" customHeight="1"/>
    <row r="506" ht="66.75" customHeight="1"/>
    <row r="507" ht="66.75" customHeight="1"/>
    <row r="508" ht="66.75" customHeight="1"/>
    <row r="509" ht="66.75" customHeight="1"/>
    <row r="510" ht="66.75" customHeight="1"/>
    <row r="511" ht="66.75" customHeight="1"/>
    <row r="512" ht="66.75" customHeight="1"/>
    <row r="513" ht="66.75" customHeight="1"/>
    <row r="514" ht="66.75" customHeight="1"/>
    <row r="515" ht="66.75" customHeight="1"/>
    <row r="516" ht="66.75" customHeight="1"/>
    <row r="517" ht="66.75" customHeight="1"/>
    <row r="518" ht="66.75" customHeight="1"/>
    <row r="519" ht="66.75" customHeight="1"/>
    <row r="520" ht="66.75" customHeight="1"/>
    <row r="521" ht="66.75" customHeight="1"/>
    <row r="522" ht="66.75" customHeight="1"/>
    <row r="523" ht="66.75" customHeight="1"/>
    <row r="524" ht="66.75" customHeight="1"/>
    <row r="525" ht="66.75" customHeight="1"/>
    <row r="526" ht="66.75" customHeight="1"/>
    <row r="527" ht="66.75" customHeight="1"/>
    <row r="528" ht="66.75" customHeight="1"/>
    <row r="529" ht="66.75" customHeight="1"/>
    <row r="530" ht="66.75" customHeight="1"/>
    <row r="531" ht="66.75" customHeight="1"/>
    <row r="532" ht="66.75" customHeight="1"/>
    <row r="533" ht="66.75" customHeight="1"/>
    <row r="534" ht="66.75" customHeight="1"/>
    <row r="535" ht="66.75" customHeight="1"/>
    <row r="536" ht="66.75" customHeight="1"/>
    <row r="537" ht="66.75" customHeight="1"/>
    <row r="538" ht="66.75" customHeight="1"/>
    <row r="539" ht="66.75" customHeight="1"/>
    <row r="540" ht="66.75" customHeight="1"/>
    <row r="541" ht="66.75" customHeight="1"/>
    <row r="542" ht="66.75" customHeight="1"/>
    <row r="543" ht="66.75" customHeight="1"/>
    <row r="544" ht="66.75" customHeight="1"/>
    <row r="545" ht="66.75" customHeight="1"/>
    <row r="546" ht="66.75" customHeight="1"/>
    <row r="547" ht="66.75" customHeight="1"/>
    <row r="548" ht="66.75" customHeight="1"/>
    <row r="549" ht="66.75" customHeight="1"/>
    <row r="550" ht="66.75" customHeight="1"/>
    <row r="551" ht="66.75" customHeight="1"/>
    <row r="552" ht="66.75" customHeight="1"/>
    <row r="553" ht="66.75" customHeight="1"/>
    <row r="554" ht="66.75" customHeight="1"/>
    <row r="555" ht="66.75" customHeight="1"/>
    <row r="556" ht="66.75" customHeight="1"/>
    <row r="557" ht="66.75" customHeight="1"/>
    <row r="558" ht="66.75" customHeight="1"/>
    <row r="559" ht="66.75" customHeight="1"/>
    <row r="560" ht="66.75" customHeight="1"/>
    <row r="561" ht="66.75" customHeight="1"/>
    <row r="562" ht="66.75" customHeight="1"/>
    <row r="563" ht="66.75" customHeight="1"/>
    <row r="564" ht="66.75" customHeight="1"/>
    <row r="565" ht="66.75" customHeight="1"/>
    <row r="566" ht="66.75" customHeight="1"/>
    <row r="567" ht="66.75" customHeight="1"/>
    <row r="568" ht="66.75" customHeight="1"/>
    <row r="569" ht="66.75" customHeight="1"/>
    <row r="570" ht="66.75" customHeight="1"/>
    <row r="571" ht="66.75" customHeight="1"/>
    <row r="572" ht="66.75" customHeight="1"/>
    <row r="573" ht="66.75" customHeight="1"/>
    <row r="574" ht="66.75" customHeight="1"/>
    <row r="575" ht="66.75" customHeight="1"/>
    <row r="576" ht="66.75" customHeight="1"/>
    <row r="577" ht="66.75" customHeight="1"/>
    <row r="578" ht="66.75" customHeight="1"/>
    <row r="579" ht="66.75" customHeight="1"/>
    <row r="580" ht="66.75" customHeight="1"/>
    <row r="581" ht="66.75" customHeight="1"/>
    <row r="582" ht="66.75" customHeight="1"/>
    <row r="583" ht="66.75" customHeight="1"/>
    <row r="584" ht="66.75" customHeight="1"/>
    <row r="585" ht="66.75" customHeight="1"/>
    <row r="586" ht="66.75" customHeight="1"/>
    <row r="587" ht="66.75" customHeight="1"/>
    <row r="588" ht="66.75" customHeight="1"/>
    <row r="589" ht="66.75" customHeight="1"/>
    <row r="590" ht="66.75" customHeight="1"/>
    <row r="591" ht="66.75" customHeight="1"/>
    <row r="592" ht="66.75" customHeight="1"/>
    <row r="593" ht="66.75" customHeight="1"/>
    <row r="594" ht="66.75" customHeight="1"/>
    <row r="595" ht="66.75" customHeight="1"/>
    <row r="596" ht="66.75" customHeight="1"/>
    <row r="597" ht="66.75" customHeight="1"/>
    <row r="598" ht="66.75" customHeight="1"/>
    <row r="599" ht="66.75" customHeight="1"/>
    <row r="600" ht="66.75" customHeight="1"/>
    <row r="601" ht="66.75" customHeight="1"/>
    <row r="602" ht="66.75" customHeight="1"/>
    <row r="603" ht="66.75" customHeight="1"/>
    <row r="604" ht="66.75" customHeight="1"/>
    <row r="605" ht="66.75" customHeight="1"/>
    <row r="606" ht="66.75" customHeight="1"/>
    <row r="607" ht="66.75" customHeight="1"/>
    <row r="608" ht="66.75" customHeight="1"/>
    <row r="609" ht="66.75" customHeight="1"/>
    <row r="610" ht="66.75" customHeight="1"/>
    <row r="611" ht="66.75" customHeight="1"/>
    <row r="612" ht="66.75" customHeight="1"/>
    <row r="613" ht="66.75" customHeight="1"/>
    <row r="614" ht="66.75" customHeight="1"/>
    <row r="615" ht="66.75" customHeight="1"/>
    <row r="616" ht="66.75" customHeight="1"/>
    <row r="617" ht="66.75" customHeight="1"/>
    <row r="618" ht="66.75" customHeight="1"/>
    <row r="619" ht="66.75" customHeight="1"/>
    <row r="620" ht="66.75" customHeight="1"/>
    <row r="621" ht="66.75" customHeight="1"/>
    <row r="622" ht="66.75" customHeight="1"/>
    <row r="623" ht="66.75" customHeight="1"/>
    <row r="624" ht="66.75" customHeight="1"/>
    <row r="625" ht="66.75" customHeight="1"/>
    <row r="626" ht="66.75" customHeight="1"/>
    <row r="627" ht="66.75" customHeight="1"/>
    <row r="628" ht="66.75" customHeight="1"/>
    <row r="629" ht="66.75" customHeight="1"/>
    <row r="630" ht="66.75" customHeight="1"/>
    <row r="631" ht="66.75" customHeight="1"/>
    <row r="632" ht="66.75" customHeight="1"/>
    <row r="633" ht="66.75" customHeight="1"/>
    <row r="634" ht="66.75" customHeight="1"/>
    <row r="635" ht="66.75" customHeight="1"/>
    <row r="636" ht="66.75" customHeight="1"/>
    <row r="637" ht="66.75" customHeight="1"/>
    <row r="638" ht="66.75" customHeight="1"/>
    <row r="639" ht="66.75" customHeight="1"/>
    <row r="640" ht="66.75" customHeight="1"/>
    <row r="641" ht="66.75" customHeight="1"/>
    <row r="642" ht="66.75" customHeight="1"/>
    <row r="643" ht="66.75" customHeight="1"/>
    <row r="644" ht="66.75" customHeight="1"/>
    <row r="645" ht="66.75" customHeight="1"/>
    <row r="646" ht="66.75" customHeight="1"/>
    <row r="647" ht="66.75" customHeight="1"/>
    <row r="648" ht="66.75" customHeight="1"/>
    <row r="649" ht="66.75" customHeight="1"/>
    <row r="650" ht="66.75" customHeight="1"/>
    <row r="651" ht="66.75" customHeight="1"/>
    <row r="652" ht="66.75" customHeight="1"/>
    <row r="653" ht="66.75" customHeight="1"/>
    <row r="654" ht="66.75" customHeight="1"/>
    <row r="655" ht="66.75" customHeight="1"/>
    <row r="656" ht="66.75" customHeight="1"/>
    <row r="657" ht="66.75" customHeight="1"/>
    <row r="658" ht="66.75" customHeight="1"/>
    <row r="659" ht="66.75" customHeight="1"/>
    <row r="660" ht="66.75" customHeight="1"/>
    <row r="661" ht="66.75" customHeight="1"/>
    <row r="662" ht="66.75" customHeight="1"/>
    <row r="663" ht="66.75" customHeight="1"/>
    <row r="664" ht="66.75" customHeight="1"/>
    <row r="665" ht="66.75" customHeight="1"/>
    <row r="666" ht="66.75" customHeight="1"/>
    <row r="667" ht="66.75" customHeight="1"/>
    <row r="668" ht="66.75" customHeight="1"/>
    <row r="669" ht="66.75" customHeight="1"/>
    <row r="670" ht="66.75" customHeight="1"/>
    <row r="671" ht="66.75" customHeight="1"/>
    <row r="672" ht="66.75" customHeight="1"/>
    <row r="673" ht="66.75" customHeight="1"/>
    <row r="674" ht="66.75" customHeight="1"/>
    <row r="675" ht="66.75" customHeight="1"/>
    <row r="676" ht="66.75" customHeight="1"/>
    <row r="677" ht="66.75" customHeight="1"/>
    <row r="678" ht="66.75" customHeight="1"/>
    <row r="679" ht="66.75" customHeight="1"/>
    <row r="680" ht="66.75" customHeight="1"/>
    <row r="681" ht="66.75" customHeight="1"/>
    <row r="682" ht="66.75" customHeight="1"/>
    <row r="683" ht="66.75" customHeight="1"/>
    <row r="684" ht="66.75" customHeight="1"/>
    <row r="685" ht="66.75" customHeight="1"/>
    <row r="686" ht="66.75" customHeight="1"/>
    <row r="687" ht="66.75" customHeight="1"/>
    <row r="688" ht="66.75" customHeight="1"/>
    <row r="689" ht="66.75" customHeight="1"/>
    <row r="690" ht="66.75" customHeight="1"/>
    <row r="691" ht="66.75" customHeight="1"/>
    <row r="692" ht="66.75" customHeight="1"/>
    <row r="693" ht="66.75" customHeight="1"/>
    <row r="694" ht="66.75" customHeight="1"/>
    <row r="695" ht="66.75" customHeight="1"/>
    <row r="696" ht="66.75" customHeight="1"/>
    <row r="697" ht="66.75" customHeight="1"/>
    <row r="698" ht="66.75" customHeight="1"/>
    <row r="699" ht="66.75" customHeight="1"/>
    <row r="700" ht="66.75" customHeight="1"/>
    <row r="701" ht="66.75" customHeight="1"/>
    <row r="702" ht="66.75" customHeight="1"/>
    <row r="703" ht="66.75" customHeight="1"/>
    <row r="704" ht="66.75" customHeight="1"/>
    <row r="705" ht="66.75" customHeight="1"/>
    <row r="706" ht="66.75" customHeight="1"/>
    <row r="707" ht="66.75" customHeight="1"/>
    <row r="708" ht="66.75" customHeight="1"/>
    <row r="709" ht="66.75" customHeight="1"/>
    <row r="710" ht="66.75" customHeight="1"/>
    <row r="711" ht="66.75" customHeight="1"/>
    <row r="712" ht="66.75" customHeight="1"/>
    <row r="713" ht="66.75" customHeight="1"/>
    <row r="714" ht="66.75" customHeight="1"/>
    <row r="715" ht="66.75" customHeight="1"/>
    <row r="716" ht="66.75" customHeight="1"/>
    <row r="717" ht="66.75" customHeight="1"/>
    <row r="718" ht="66.75" customHeight="1"/>
    <row r="719" ht="66.75" customHeight="1"/>
    <row r="720" ht="66.75" customHeight="1"/>
    <row r="721" ht="66.75" customHeight="1"/>
    <row r="722" ht="66.75" customHeight="1"/>
    <row r="723" ht="66.75" customHeight="1"/>
    <row r="724" ht="66.75" customHeight="1"/>
    <row r="725" ht="66.75" customHeight="1"/>
    <row r="726" ht="66.75" customHeight="1"/>
    <row r="727" ht="66.75" customHeight="1"/>
    <row r="728" ht="66.75" customHeight="1"/>
    <row r="729" ht="66.75" customHeight="1"/>
    <row r="730" ht="66.75" customHeight="1"/>
    <row r="731" ht="66.75" customHeight="1"/>
    <row r="732" ht="66.75" customHeight="1"/>
    <row r="733" ht="66.75" customHeight="1"/>
    <row r="734" ht="66.75" customHeight="1"/>
    <row r="735" ht="66.75" customHeight="1"/>
    <row r="736" ht="66.75" customHeight="1"/>
    <row r="737" ht="66.75" customHeight="1"/>
    <row r="738" ht="66.75" customHeight="1"/>
    <row r="739" ht="66.75" customHeight="1"/>
    <row r="740" ht="66.75" customHeight="1"/>
    <row r="741" ht="66.75" customHeight="1"/>
    <row r="742" ht="66.75" customHeight="1"/>
    <row r="743" ht="66.75" customHeight="1"/>
    <row r="744" ht="66.75" customHeight="1"/>
    <row r="745" ht="66.75" customHeight="1"/>
    <row r="746" ht="66.75" customHeight="1"/>
    <row r="747" ht="66.75" customHeight="1"/>
    <row r="748" ht="66.75" customHeight="1"/>
    <row r="749" ht="66.75" customHeight="1"/>
    <row r="750" ht="66.75" customHeight="1"/>
    <row r="751" ht="66.75" customHeight="1"/>
    <row r="752" ht="66.75" customHeight="1"/>
    <row r="753" ht="66.75" customHeight="1"/>
    <row r="754" ht="66.75" customHeight="1"/>
    <row r="755" ht="66.75" customHeight="1"/>
    <row r="756" ht="66.75" customHeight="1"/>
    <row r="757" ht="66.75" customHeight="1"/>
    <row r="758" ht="66.75" customHeight="1"/>
    <row r="759" ht="66.75" customHeight="1"/>
    <row r="760" ht="66.75" customHeight="1"/>
    <row r="761" ht="66.75" customHeight="1"/>
    <row r="762" ht="66.75" customHeight="1"/>
    <row r="763" ht="66.75" customHeight="1"/>
    <row r="764" ht="66.75" customHeight="1"/>
    <row r="765" ht="66.75" customHeight="1"/>
    <row r="766" ht="66.75" customHeight="1"/>
    <row r="767" ht="66.75" customHeight="1"/>
    <row r="768" ht="66.75" customHeight="1"/>
    <row r="769" ht="66.75" customHeight="1"/>
  </sheetData>
  <sheetProtection password="BE15" sheet="1" objects="1" scenarios="1"/>
  <mergeCells count="48">
    <mergeCell ref="I15:J15"/>
    <mergeCell ref="I24:N24"/>
    <mergeCell ref="B24:E24"/>
    <mergeCell ref="F24:G24"/>
    <mergeCell ref="I16:J16"/>
    <mergeCell ref="B17:G17"/>
    <mergeCell ref="I17:J17"/>
    <mergeCell ref="I18:J18"/>
    <mergeCell ref="A19:G22"/>
    <mergeCell ref="I19:J19"/>
    <mergeCell ref="I20:J20"/>
    <mergeCell ref="I21:J21"/>
    <mergeCell ref="I22:J22"/>
    <mergeCell ref="P6:P7"/>
    <mergeCell ref="N6:N7"/>
    <mergeCell ref="D6:G6"/>
    <mergeCell ref="H6:H7"/>
    <mergeCell ref="I6:M6"/>
    <mergeCell ref="F25:G25"/>
    <mergeCell ref="A12:B13"/>
    <mergeCell ref="D12:D13"/>
    <mergeCell ref="B15:G15"/>
    <mergeCell ref="A1:A4"/>
    <mergeCell ref="B6:B7"/>
    <mergeCell ref="C6:C7"/>
    <mergeCell ref="E12:P13"/>
    <mergeCell ref="L15:M15"/>
    <mergeCell ref="B1:D1"/>
    <mergeCell ref="B2:D3"/>
    <mergeCell ref="B4:D4"/>
    <mergeCell ref="B25:E25"/>
    <mergeCell ref="N1:P2"/>
    <mergeCell ref="N3:P4"/>
    <mergeCell ref="O6:O7"/>
    <mergeCell ref="J46:J48"/>
    <mergeCell ref="J49:J51"/>
    <mergeCell ref="D56:K57"/>
    <mergeCell ref="B26:E26"/>
    <mergeCell ref="F26:G26"/>
    <mergeCell ref="A34:B34"/>
    <mergeCell ref="C34:J35"/>
    <mergeCell ref="J37:J39"/>
    <mergeCell ref="J40:J42"/>
    <mergeCell ref="J43:J45"/>
    <mergeCell ref="B27:E27"/>
    <mergeCell ref="F27:G27"/>
    <mergeCell ref="A32:B32"/>
    <mergeCell ref="C32:D32"/>
  </mergeCells>
  <dataValidations count="4">
    <dataValidation type="whole" operator="greaterThan" allowBlank="1" showInputMessage="1" showErrorMessage="1" errorTitle="Gerencie.com" error="Numeros enteros mayores que 0" promptTitle="JAIRO MOSQUERA PEREIRA" prompt="Digite el valor" sqref="C32:D32">
      <formula1>0</formula1>
    </dataValidation>
    <dataValidation type="whole" operator="greaterThanOrEqual" allowBlank="1" showInputMessage="1" showErrorMessage="1" errorTitle="FUNDACION GEPIC" error="Valores mayores o iguales que la mitad del salario minimo mensual vigente" sqref="B8">
      <formula1>SM/2</formula1>
    </dataValidation>
    <dataValidation type="whole" allowBlank="1" showInputMessage="1" showErrorMessage="1" errorTitle="FUNDACION GEPIC" error="Número entero entre 1 y 30" sqref="C8">
      <formula1>1</formula1>
      <formula2>30</formula2>
    </dataValidation>
    <dataValidation type="whole" operator="greaterThan" allowBlank="1" showInputMessage="1" showErrorMessage="1" errorTitle="FUNDACION GEPIC" error="Número entero mayor que 0" sqref="L8:M8 F8:G8">
      <formula1>0</formula1>
    </dataValidation>
  </dataValidations>
  <pageMargins left="0.39370078740157483" right="0.23622047244094491" top="0.74803149606299213" bottom="0.74803149606299213" header="0.31496062992125984" footer="0.31496062992125984"/>
  <pageSetup paperSize="9" scale="63" fitToHeight="156" orientation="landscape" horizontalDpi="300" verticalDpi="3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26</vt:i4>
      </vt:variant>
    </vt:vector>
  </HeadingPairs>
  <TitlesOfParts>
    <vt:vector size="29" baseType="lpstr">
      <vt:lpstr>Datos Básicos</vt:lpstr>
      <vt:lpstr>Calculos</vt:lpstr>
      <vt:lpstr>Nomina</vt:lpstr>
      <vt:lpstr>Nomina!Área_de_impresión</vt:lpstr>
      <vt:lpstr>ARP</vt:lpstr>
      <vt:lpstr>AT</vt:lpstr>
      <vt:lpstr>CAJA</vt:lpstr>
      <vt:lpstr>Cesantia</vt:lpstr>
      <vt:lpstr>ESAP</vt:lpstr>
      <vt:lpstr>ExtraNocturnaDominicalFestivo</vt:lpstr>
      <vt:lpstr>FonSol1</vt:lpstr>
      <vt:lpstr>FonSol2</vt:lpstr>
      <vt:lpstr>FonSol3</vt:lpstr>
      <vt:lpstr>FonSol4</vt:lpstr>
      <vt:lpstr>FonSol5</vt:lpstr>
      <vt:lpstr>FonSol6</vt:lpstr>
      <vt:lpstr>ICBF</vt:lpstr>
      <vt:lpstr>IND</vt:lpstr>
      <vt:lpstr>IntCesantia</vt:lpstr>
      <vt:lpstr>PensionEmpleado</vt:lpstr>
      <vt:lpstr>PensionEmpresa</vt:lpstr>
      <vt:lpstr>Prima</vt:lpstr>
      <vt:lpstr>SaludEmpleado</vt:lpstr>
      <vt:lpstr>SaludEmpresa</vt:lpstr>
      <vt:lpstr>SENA</vt:lpstr>
      <vt:lpstr>SM</vt:lpstr>
      <vt:lpstr>UVT</vt:lpstr>
      <vt:lpstr>Vacaciones</vt:lpstr>
      <vt:lpstr>ValorHora</vt:lpstr>
    </vt:vector>
  </TitlesOfParts>
  <Company>Windows XP Colossus Edition 2 Reloaded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Colossus User</dc:creator>
  <cp:lastModifiedBy>JAIRO MOSQUERA PEREIRA</cp:lastModifiedBy>
  <cp:lastPrinted>2009-12-07T12:30:55Z</cp:lastPrinted>
  <dcterms:created xsi:type="dcterms:W3CDTF">2009-11-24T22:33:55Z</dcterms:created>
  <dcterms:modified xsi:type="dcterms:W3CDTF">2009-12-07T12:31:05Z</dcterms:modified>
</cp:coreProperties>
</file>